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854c020b0909200/Desktop/RESULTS/"/>
    </mc:Choice>
  </mc:AlternateContent>
  <xr:revisionPtr revIDLastSave="1092" documentId="8_{4CDAE1EC-5C85-44DB-A945-F2AE37DFB9F9}" xr6:coauthVersionLast="47" xr6:coauthVersionMax="47" xr10:uidLastSave="{E219C7DD-4DEC-41A9-965E-74642F115241}"/>
  <bookViews>
    <workbookView xWindow="-120" yWindow="-120" windowWidth="29040" windowHeight="15840" xr2:uid="{BB81EC41-FECE-4768-8F75-D01B1CFB91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7" i="1" l="1"/>
  <c r="R7" i="1"/>
  <c r="H7" i="1"/>
  <c r="R6" i="1"/>
  <c r="H6" i="1"/>
  <c r="AB6" i="1" l="1"/>
  <c r="R42" i="1"/>
  <c r="H43" i="1"/>
  <c r="R60" i="1" l="1"/>
  <c r="R59" i="1"/>
  <c r="AB61" i="1"/>
  <c r="AB59" i="1"/>
  <c r="AB25" i="1"/>
  <c r="H42" i="1" l="1"/>
  <c r="H24" i="1"/>
  <c r="H8" i="1"/>
  <c r="R26" i="1"/>
  <c r="R57" i="1"/>
  <c r="H57" i="1"/>
  <c r="AB40" i="1"/>
  <c r="AB10" i="1"/>
  <c r="R25" i="1"/>
  <c r="AB9" i="1"/>
  <c r="R8" i="1"/>
  <c r="H41" i="1"/>
  <c r="R58" i="1" l="1"/>
  <c r="H58" i="1"/>
  <c r="AB41" i="1"/>
  <c r="AB58" i="1"/>
  <c r="R40" i="1"/>
  <c r="AB24" i="1"/>
  <c r="R41" i="1"/>
  <c r="H40" i="1"/>
  <c r="R24" i="1"/>
  <c r="AB8" i="1"/>
  <c r="AB57" i="1" l="1"/>
  <c r="R56" i="1"/>
  <c r="H56" i="1"/>
  <c r="AB39" i="1"/>
  <c r="AB23" i="1"/>
  <c r="H23" i="1"/>
  <c r="H55" i="1" l="1"/>
  <c r="AB38" i="1"/>
  <c r="R39" i="1"/>
  <c r="H39" i="1"/>
  <c r="AB22" i="1"/>
  <c r="R23" i="1"/>
  <c r="AB56" i="1" l="1"/>
  <c r="AB55" i="1"/>
  <c r="R38" i="1"/>
  <c r="H38" i="1"/>
  <c r="R22" i="1"/>
  <c r="H22" i="1" l="1"/>
  <c r="AC56" i="1" l="1"/>
  <c r="AC55" i="1"/>
  <c r="S57" i="1"/>
  <c r="S56" i="1"/>
  <c r="S55" i="1"/>
  <c r="R55" i="1"/>
  <c r="I57" i="1"/>
  <c r="I56" i="1"/>
  <c r="I55" i="1"/>
  <c r="AC41" i="1"/>
  <c r="AC40" i="1"/>
  <c r="AC39" i="1"/>
  <c r="AC38" i="1"/>
  <c r="S41" i="1"/>
  <c r="S40" i="1"/>
  <c r="S39" i="1"/>
  <c r="S38" i="1"/>
  <c r="I40" i="1"/>
  <c r="I39" i="1"/>
  <c r="I38" i="1"/>
  <c r="AC25" i="1"/>
  <c r="AC24" i="1"/>
  <c r="AC23" i="1"/>
  <c r="AC22" i="1"/>
  <c r="S24" i="1"/>
  <c r="S23" i="1"/>
  <c r="S22" i="1"/>
  <c r="I25" i="1"/>
  <c r="I24" i="1"/>
  <c r="I23" i="1"/>
  <c r="I22" i="1"/>
  <c r="H25" i="1"/>
  <c r="R9" i="1"/>
  <c r="I9" i="1"/>
  <c r="H9" i="1"/>
  <c r="I8" i="1"/>
  <c r="I7" i="1"/>
  <c r="I6" i="1"/>
  <c r="AB42" i="1" l="1"/>
  <c r="H26" i="1"/>
  <c r="H59" i="1" l="1"/>
  <c r="AC58" i="1" l="1"/>
  <c r="AC57" i="1"/>
  <c r="S58" i="1"/>
  <c r="I58" i="1"/>
  <c r="AC42" i="1"/>
  <c r="I42" i="1"/>
  <c r="I41" i="1"/>
  <c r="S25" i="1"/>
  <c r="AC9" i="1"/>
  <c r="AC8" i="1"/>
  <c r="AC7" i="1"/>
  <c r="AC6" i="1"/>
  <c r="S9" i="1"/>
  <c r="S8" i="1"/>
  <c r="S7" i="1"/>
  <c r="S6" i="1"/>
  <c r="AB60" i="1"/>
  <c r="AB27" i="1" l="1"/>
  <c r="AB26" i="1" l="1"/>
  <c r="H10" i="1" l="1"/>
  <c r="D32" i="1" l="1"/>
  <c r="D16" i="1"/>
  <c r="N16" i="1"/>
  <c r="X16" i="1"/>
  <c r="X65" i="1" l="1"/>
  <c r="V65" i="1"/>
  <c r="U65" i="1" s="1"/>
  <c r="N65" i="1"/>
  <c r="L65" i="1"/>
  <c r="K65" i="1" s="1"/>
  <c r="D65" i="1"/>
  <c r="B65" i="1"/>
  <c r="A65" i="1" s="1"/>
  <c r="AC63" i="1"/>
  <c r="AB63" i="1"/>
  <c r="AA63" i="1"/>
  <c r="S63" i="1"/>
  <c r="R63" i="1"/>
  <c r="Q63" i="1"/>
  <c r="I63" i="1"/>
  <c r="H63" i="1"/>
  <c r="G63" i="1"/>
  <c r="AC62" i="1"/>
  <c r="AB62" i="1"/>
  <c r="AA62" i="1"/>
  <c r="S62" i="1"/>
  <c r="R62" i="1"/>
  <c r="Q62" i="1"/>
  <c r="H62" i="1"/>
  <c r="G62" i="1"/>
  <c r="AC61" i="1"/>
  <c r="S61" i="1"/>
  <c r="R61" i="1"/>
  <c r="Q61" i="1"/>
  <c r="I61" i="1"/>
  <c r="H61" i="1"/>
  <c r="AC60" i="1"/>
  <c r="S60" i="1"/>
  <c r="I60" i="1"/>
  <c r="H60" i="1"/>
  <c r="G60" i="1"/>
  <c r="S59" i="1"/>
  <c r="I59" i="1"/>
  <c r="W54" i="1"/>
  <c r="M54" i="1"/>
  <c r="C54" i="1"/>
  <c r="X48" i="1"/>
  <c r="V48" i="1"/>
  <c r="U48" i="1" s="1"/>
  <c r="N48" i="1"/>
  <c r="L48" i="1"/>
  <c r="K48" i="1" s="1"/>
  <c r="D48" i="1"/>
  <c r="B48" i="1"/>
  <c r="A48" i="1" s="1"/>
  <c r="AC46" i="1"/>
  <c r="AB46" i="1"/>
  <c r="AA46" i="1"/>
  <c r="S46" i="1"/>
  <c r="R46" i="1"/>
  <c r="Q46" i="1"/>
  <c r="I46" i="1"/>
  <c r="H46" i="1"/>
  <c r="G46" i="1"/>
  <c r="AC45" i="1"/>
  <c r="AB45" i="1"/>
  <c r="S45" i="1"/>
  <c r="R45" i="1"/>
  <c r="Q45" i="1"/>
  <c r="I45" i="1"/>
  <c r="H45" i="1"/>
  <c r="G45" i="1"/>
  <c r="AC44" i="1"/>
  <c r="AB44" i="1"/>
  <c r="AA44" i="1"/>
  <c r="S44" i="1"/>
  <c r="R44" i="1"/>
  <c r="Q44" i="1"/>
  <c r="I44" i="1"/>
  <c r="H44" i="1"/>
  <c r="G44" i="1"/>
  <c r="AC43" i="1"/>
  <c r="AB43" i="1"/>
  <c r="AA43" i="1"/>
  <c r="S43" i="1"/>
  <c r="R43" i="1"/>
  <c r="I43" i="1"/>
  <c r="S42" i="1"/>
  <c r="W37" i="1"/>
  <c r="M37" i="1"/>
  <c r="C37" i="1"/>
  <c r="X32" i="1"/>
  <c r="V32" i="1"/>
  <c r="U32" i="1" s="1"/>
  <c r="N32" i="1"/>
  <c r="L32" i="1"/>
  <c r="K32" i="1" s="1"/>
  <c r="B32" i="1"/>
  <c r="A32" i="1" s="1"/>
  <c r="S31" i="1"/>
  <c r="R31" i="1"/>
  <c r="Q31" i="1"/>
  <c r="I31" i="1"/>
  <c r="H31" i="1"/>
  <c r="G31" i="1"/>
  <c r="AC30" i="1"/>
  <c r="AB30" i="1"/>
  <c r="AA30" i="1"/>
  <c r="S30" i="1"/>
  <c r="R30" i="1"/>
  <c r="Q30" i="1"/>
  <c r="I30" i="1"/>
  <c r="H30" i="1"/>
  <c r="G30" i="1"/>
  <c r="AC29" i="1"/>
  <c r="AB29" i="1"/>
  <c r="AA29" i="1"/>
  <c r="S29" i="1"/>
  <c r="R29" i="1"/>
  <c r="Q29" i="1"/>
  <c r="I29" i="1"/>
  <c r="H29" i="1"/>
  <c r="G29" i="1"/>
  <c r="AC28" i="1"/>
  <c r="AB28" i="1"/>
  <c r="AA28" i="1"/>
  <c r="S28" i="1"/>
  <c r="R28" i="1"/>
  <c r="Q28" i="1"/>
  <c r="I28" i="1"/>
  <c r="H28" i="1"/>
  <c r="G28" i="1"/>
  <c r="AC27" i="1"/>
  <c r="S27" i="1"/>
  <c r="R27" i="1"/>
  <c r="Q27" i="1"/>
  <c r="I27" i="1"/>
  <c r="H27" i="1"/>
  <c r="G27" i="1"/>
  <c r="AC26" i="1"/>
  <c r="S26" i="1"/>
  <c r="I26" i="1"/>
  <c r="W21" i="1"/>
  <c r="M21" i="1"/>
  <c r="C21" i="1"/>
  <c r="V16" i="1"/>
  <c r="U16" i="1" s="1"/>
  <c r="B16" i="1"/>
  <c r="A16" i="1" s="1"/>
  <c r="AA15" i="1"/>
  <c r="R15" i="1"/>
  <c r="I15" i="1"/>
  <c r="H15" i="1"/>
  <c r="G15" i="1"/>
  <c r="AC14" i="1"/>
  <c r="AB14" i="1"/>
  <c r="AA14" i="1"/>
  <c r="S14" i="1"/>
  <c r="R14" i="1"/>
  <c r="Q14" i="1"/>
  <c r="I14" i="1"/>
  <c r="H14" i="1"/>
  <c r="G14" i="1"/>
  <c r="AC13" i="1"/>
  <c r="AB13" i="1"/>
  <c r="AA13" i="1"/>
  <c r="S13" i="1"/>
  <c r="R13" i="1"/>
  <c r="Q13" i="1"/>
  <c r="I13" i="1"/>
  <c r="H13" i="1"/>
  <c r="G13" i="1"/>
  <c r="AL12" i="1"/>
  <c r="AC12" i="1"/>
  <c r="AB12" i="1"/>
  <c r="AA12" i="1"/>
  <c r="S12" i="1"/>
  <c r="R12" i="1"/>
  <c r="Q12" i="1"/>
  <c r="I12" i="1"/>
  <c r="H12" i="1"/>
  <c r="G12" i="1"/>
  <c r="AC11" i="1"/>
  <c r="AB11" i="1"/>
  <c r="AA11" i="1"/>
  <c r="S11" i="1"/>
  <c r="R11" i="1"/>
  <c r="Q11" i="1"/>
  <c r="I11" i="1"/>
  <c r="H11" i="1"/>
  <c r="AC10" i="1"/>
  <c r="S10" i="1"/>
  <c r="R10" i="1"/>
  <c r="I10" i="1"/>
  <c r="W5" i="1"/>
  <c r="M5" i="1"/>
  <c r="C5" i="1"/>
  <c r="AH4" i="1"/>
  <c r="G65" i="1" l="1"/>
  <c r="F65" i="1" s="1"/>
  <c r="AA65" i="1"/>
  <c r="Z65" i="1" s="1"/>
  <c r="G32" i="1"/>
  <c r="F32" i="1" s="1"/>
  <c r="G48" i="1"/>
  <c r="F48" i="1" s="1"/>
  <c r="AA48" i="1"/>
  <c r="Z48" i="1" s="1"/>
  <c r="G16" i="1"/>
  <c r="Q65" i="1"/>
  <c r="P65" i="1" s="1"/>
  <c r="AA16" i="1"/>
  <c r="Z16" i="1" s="1"/>
  <c r="Q32" i="1"/>
  <c r="P32" i="1" s="1"/>
  <c r="AA32" i="1"/>
  <c r="Q48" i="1"/>
  <c r="P48" i="1" s="1"/>
  <c r="S66" i="1"/>
  <c r="AC66" i="1"/>
  <c r="I49" i="1"/>
  <c r="S33" i="1"/>
  <c r="AC17" i="1"/>
  <c r="AC49" i="1"/>
  <c r="I66" i="1"/>
  <c r="S49" i="1"/>
  <c r="AH7" i="1"/>
  <c r="AC33" i="1"/>
  <c r="I33" i="1"/>
  <c r="I17" i="1"/>
  <c r="S15" i="1" l="1"/>
  <c r="S17" i="1" s="1"/>
  <c r="AH10" i="1" s="1"/>
  <c r="Q15" i="1"/>
  <c r="Q16" i="1"/>
  <c r="L16" i="1"/>
  <c r="AL14" i="1" s="1"/>
  <c r="P16" i="1" l="1"/>
  <c r="K16" i="1"/>
  <c r="AH8" i="1"/>
  <c r="AH11" i="1" s="1"/>
  <c r="AN5" i="1" s="1"/>
  <c r="AL8" i="1"/>
  <c r="AI6" i="1"/>
  <c r="AL10" i="1" l="1"/>
  <c r="AN4" i="1" s="1"/>
  <c r="AN6" i="1" s="1"/>
  <c r="AN8" i="1" s="1"/>
</calcChain>
</file>

<file path=xl/sharedStrings.xml><?xml version="1.0" encoding="utf-8"?>
<sst xmlns="http://schemas.openxmlformats.org/spreadsheetml/2006/main" count="248" uniqueCount="49">
  <si>
    <t>FARM</t>
  </si>
  <si>
    <t>Double B</t>
  </si>
  <si>
    <t>DATE</t>
  </si>
  <si>
    <t>SHED 1</t>
  </si>
  <si>
    <t>No. birds at pick up</t>
  </si>
  <si>
    <t>Date</t>
  </si>
  <si>
    <t>Age</t>
  </si>
  <si>
    <t>Sex</t>
  </si>
  <si>
    <t>Ave weight</t>
  </si>
  <si>
    <t>Total Weight</t>
  </si>
  <si>
    <t>wgt %</t>
  </si>
  <si>
    <t>Actual Age</t>
  </si>
  <si>
    <t>SHED 2</t>
  </si>
  <si>
    <t>SHED 3</t>
  </si>
  <si>
    <t xml:space="preserve">No. of Birds Placed </t>
  </si>
  <si>
    <t>Feed left over</t>
  </si>
  <si>
    <t>Efficiency Rating</t>
  </si>
  <si>
    <t>placement</t>
  </si>
  <si>
    <t>Mortality</t>
  </si>
  <si>
    <t>Feed Delivered</t>
  </si>
  <si>
    <t>cfcr</t>
  </si>
  <si>
    <t>morts</t>
  </si>
  <si>
    <t>Feed on Hand</t>
  </si>
  <si>
    <t>cage</t>
  </si>
  <si>
    <t>M</t>
  </si>
  <si>
    <t>Total Birds Out</t>
  </si>
  <si>
    <t>Feed Consumed</t>
  </si>
  <si>
    <t>E R</t>
  </si>
  <si>
    <t>Total Age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</si>
  <si>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</si>
  <si>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Ave. W.</t>
  </si>
  <si>
    <t>FCR</t>
  </si>
  <si>
    <t>Payment</t>
  </si>
  <si>
    <t>CFCR</t>
  </si>
  <si>
    <t>.</t>
  </si>
  <si>
    <t>Correct Age to 2.45</t>
  </si>
  <si>
    <t>Kg per Bird</t>
  </si>
  <si>
    <t>actual</t>
  </si>
  <si>
    <t>age</t>
  </si>
  <si>
    <t>SHED 4</t>
  </si>
  <si>
    <t>SHED 5</t>
  </si>
  <si>
    <t>SHED 6</t>
  </si>
  <si>
    <t xml:space="preserve"> </t>
  </si>
  <si>
    <t>SHED 7</t>
  </si>
  <si>
    <t>SHED 8</t>
  </si>
  <si>
    <t>SHED 9</t>
  </si>
  <si>
    <t>SHED 10</t>
  </si>
  <si>
    <t>SHED 11</t>
  </si>
  <si>
    <t>SHED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</si>
</sst>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%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8"/>
      <name val="Arial"/>
      <family val="2"/>
    </font>
    <font>
      <sz val="18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4"/>
      <color indexed="10"/>
      <name val="Arial"/>
      <family val="2"/>
    </font>
    <font>
      <sz val="14"/>
      <color rgb="FF002060"/>
      <name val="Arial"/>
      <family val="2"/>
    </font>
    <font>
      <b/>
      <sz val="14"/>
      <color rgb="FFFF0000"/>
      <name val="Arial"/>
      <family val="2"/>
    </font>
    <font>
      <sz val="14"/>
      <color rgb="FFFF0000"/>
      <name val="Arial"/>
      <family val="2"/>
    </font>
    <font>
      <sz val="14"/>
      <color indexed="10"/>
      <name val="Arial"/>
      <family val="2"/>
    </font>
    <font>
      <sz val="14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9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164" fontId="4" fillId="0" borderId="0" xfId="0" applyNumberFormat="1" applyFont="1"/>
    <xf numFmtId="0" fontId="4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2" fontId="5" fillId="0" borderId="3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5" xfId="0" applyFont="1" applyBorder="1"/>
    <xf numFmtId="0" fontId="4" fillId="0" borderId="6" xfId="0" applyFont="1" applyBorder="1"/>
    <xf numFmtId="164" fontId="5" fillId="0" borderId="0" xfId="0" applyNumberFormat="1" applyFont="1"/>
    <xf numFmtId="2" fontId="4" fillId="0" borderId="7" xfId="0" applyNumberFormat="1" applyFont="1" applyBorder="1"/>
    <xf numFmtId="164" fontId="4" fillId="0" borderId="0" xfId="0" applyNumberFormat="1" applyFont="1" applyAlignment="1">
      <alignment horizontal="center" vertical="center" wrapText="1"/>
    </xf>
    <xf numFmtId="0" fontId="4" fillId="0" borderId="8" xfId="0" applyFont="1" applyBorder="1"/>
    <xf numFmtId="0" fontId="4" fillId="0" borderId="8" xfId="0" applyFont="1" applyBorder="1" applyAlignment="1">
      <alignment horizontal="center"/>
    </xf>
    <xf numFmtId="16" fontId="4" fillId="0" borderId="8" xfId="0" applyNumberFormat="1" applyFont="1" applyBorder="1" applyAlignment="1">
      <alignment horizontal="center"/>
    </xf>
    <xf numFmtId="2" fontId="4" fillId="0" borderId="8" xfId="0" applyNumberFormat="1" applyFont="1" applyBorder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1" fontId="10" fillId="0" borderId="8" xfId="0" applyNumberFormat="1" applyFont="1" applyBorder="1" applyAlignment="1">
      <alignment horizontal="center"/>
    </xf>
    <xf numFmtId="16" fontId="9" fillId="0" borderId="8" xfId="0" applyNumberFormat="1" applyFont="1" applyBorder="1" applyAlignment="1">
      <alignment horizontal="center"/>
    </xf>
    <xf numFmtId="1" fontId="5" fillId="0" borderId="8" xfId="0" applyNumberFormat="1" applyFont="1" applyBorder="1"/>
    <xf numFmtId="0" fontId="5" fillId="0" borderId="8" xfId="0" applyFont="1" applyBorder="1"/>
    <xf numFmtId="2" fontId="4" fillId="0" borderId="8" xfId="0" applyNumberFormat="1" applyFont="1" applyBorder="1"/>
    <xf numFmtId="0" fontId="4" fillId="4" borderId="8" xfId="0" applyFont="1" applyFill="1" applyBorder="1" applyAlignment="1">
      <alignment horizontal="center"/>
    </xf>
    <xf numFmtId="16" fontId="4" fillId="4" borderId="8" xfId="0" applyNumberFormat="1" applyFont="1" applyFill="1" applyBorder="1" applyAlignment="1">
      <alignment horizontal="center"/>
    </xf>
    <xf numFmtId="2" fontId="4" fillId="4" borderId="8" xfId="0" applyNumberFormat="1" applyFont="1" applyFill="1" applyBorder="1" applyAlignment="1">
      <alignment horizontal="center"/>
    </xf>
    <xf numFmtId="165" fontId="4" fillId="4" borderId="8" xfId="0" applyNumberFormat="1" applyFont="1" applyFill="1" applyBorder="1" applyAlignment="1">
      <alignment horizontal="center"/>
    </xf>
    <xf numFmtId="0" fontId="10" fillId="0" borderId="8" xfId="0" applyFont="1" applyBorder="1" applyAlignment="1">
      <alignment horizontal="center"/>
    </xf>
    <xf numFmtId="165" fontId="4" fillId="0" borderId="8" xfId="0" applyNumberFormat="1" applyFont="1" applyBorder="1"/>
    <xf numFmtId="0" fontId="9" fillId="0" borderId="8" xfId="0" applyFont="1" applyBorder="1" applyAlignment="1">
      <alignment horizontal="center"/>
    </xf>
    <xf numFmtId="16" fontId="4" fillId="0" borderId="8" xfId="0" applyNumberFormat="1" applyFont="1" applyBorder="1"/>
    <xf numFmtId="16" fontId="8" fillId="0" borderId="8" xfId="0" applyNumberFormat="1" applyFont="1" applyBorder="1" applyAlignment="1">
      <alignment horizontal="center"/>
    </xf>
    <xf numFmtId="16" fontId="5" fillId="0" borderId="8" xfId="0" applyNumberFormat="1" applyFont="1" applyBorder="1" applyAlignment="1">
      <alignment horizontal="center"/>
    </xf>
    <xf numFmtId="2" fontId="5" fillId="0" borderId="8" xfId="0" applyNumberFormat="1" applyFont="1" applyBorder="1"/>
    <xf numFmtId="10" fontId="5" fillId="0" borderId="8" xfId="0" applyNumberFormat="1" applyFont="1" applyBorder="1"/>
    <xf numFmtId="165" fontId="4" fillId="0" borderId="8" xfId="0" applyNumberFormat="1" applyFont="1" applyBorder="1" applyAlignment="1">
      <alignment horizontal="left"/>
    </xf>
    <xf numFmtId="1" fontId="5" fillId="0" borderId="8" xfId="0" applyNumberFormat="1" applyFont="1" applyBorder="1" applyAlignment="1">
      <alignment horizontal="center"/>
    </xf>
    <xf numFmtId="10" fontId="5" fillId="0" borderId="8" xfId="0" applyNumberFormat="1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4" fillId="0" borderId="8" xfId="0" applyFont="1" applyBorder="1" applyAlignment="1">
      <alignment wrapText="1"/>
    </xf>
    <xf numFmtId="0" fontId="5" fillId="0" borderId="8" xfId="0" applyFont="1" applyBorder="1" applyAlignment="1">
      <alignment wrapText="1"/>
    </xf>
    <xf numFmtId="2" fontId="5" fillId="0" borderId="8" xfId="0" applyNumberFormat="1" applyFont="1" applyBorder="1" applyAlignment="1">
      <alignment wrapText="1"/>
    </xf>
    <xf numFmtId="1" fontId="5" fillId="0" borderId="8" xfId="0" applyNumberFormat="1" applyFont="1" applyBorder="1" applyAlignment="1">
      <alignment wrapText="1"/>
    </xf>
    <xf numFmtId="10" fontId="5" fillId="0" borderId="8" xfId="0" applyNumberFormat="1" applyFont="1" applyBorder="1" applyAlignment="1">
      <alignment wrapText="1"/>
    </xf>
    <xf numFmtId="165" fontId="4" fillId="0" borderId="8" xfId="0" applyNumberFormat="1" applyFont="1" applyBorder="1" applyAlignment="1">
      <alignment horizontal="left" wrapText="1"/>
    </xf>
    <xf numFmtId="2" fontId="4" fillId="0" borderId="8" xfId="0" applyNumberFormat="1" applyFont="1" applyBorder="1" applyAlignment="1">
      <alignment wrapText="1"/>
    </xf>
    <xf numFmtId="0" fontId="4" fillId="0" borderId="8" xfId="0" applyFont="1" applyBorder="1" applyAlignment="1">
      <alignment horizontal="center" wrapText="1"/>
    </xf>
    <xf numFmtId="16" fontId="4" fillId="0" borderId="8" xfId="0" applyNumberFormat="1" applyFont="1" applyBorder="1" applyAlignment="1">
      <alignment horizontal="center" wrapText="1"/>
    </xf>
    <xf numFmtId="2" fontId="4" fillId="0" borderId="8" xfId="0" applyNumberFormat="1" applyFont="1" applyBorder="1" applyAlignment="1">
      <alignment horizontal="center" wrapText="1"/>
    </xf>
    <xf numFmtId="165" fontId="4" fillId="0" borderId="8" xfId="0" applyNumberFormat="1" applyFont="1" applyBorder="1" applyAlignment="1">
      <alignment horizontal="center" wrapText="1"/>
    </xf>
    <xf numFmtId="0" fontId="5" fillId="0" borderId="0" xfId="0" applyFont="1" applyAlignment="1">
      <alignment horizontal="center"/>
    </xf>
    <xf numFmtId="2" fontId="5" fillId="0" borderId="0" xfId="0" applyNumberFormat="1" applyFont="1"/>
    <xf numFmtId="1" fontId="5" fillId="0" borderId="0" xfId="0" applyNumberFormat="1" applyFont="1" applyAlignment="1">
      <alignment horizontal="center"/>
    </xf>
    <xf numFmtId="10" fontId="5" fillId="0" borderId="0" xfId="0" applyNumberFormat="1" applyFont="1" applyAlignment="1">
      <alignment horizontal="left"/>
    </xf>
    <xf numFmtId="165" fontId="4" fillId="0" borderId="0" xfId="0" applyNumberFormat="1" applyFont="1" applyAlignment="1">
      <alignment horizontal="center"/>
    </xf>
    <xf numFmtId="2" fontId="4" fillId="0" borderId="0" xfId="0" applyNumberFormat="1" applyFont="1"/>
    <xf numFmtId="0" fontId="4" fillId="0" borderId="9" xfId="0" applyFont="1" applyBorder="1"/>
    <xf numFmtId="0" fontId="4" fillId="0" borderId="10" xfId="0" applyFont="1" applyBorder="1" applyAlignment="1">
      <alignment horizontal="center"/>
    </xf>
    <xf numFmtId="1" fontId="4" fillId="0" borderId="9" xfId="0" applyNumberFormat="1" applyFont="1" applyBorder="1"/>
    <xf numFmtId="0" fontId="4" fillId="0" borderId="10" xfId="0" applyFont="1" applyBorder="1"/>
    <xf numFmtId="0" fontId="4" fillId="0" borderId="11" xfId="0" applyFont="1" applyBorder="1"/>
    <xf numFmtId="0" fontId="5" fillId="0" borderId="12" xfId="0" applyFont="1" applyBorder="1"/>
    <xf numFmtId="2" fontId="4" fillId="0" borderId="12" xfId="0" applyNumberFormat="1" applyFont="1" applyBorder="1"/>
    <xf numFmtId="2" fontId="4" fillId="0" borderId="12" xfId="0" applyNumberFormat="1" applyFont="1" applyBorder="1" applyAlignment="1">
      <alignment horizontal="right"/>
    </xf>
    <xf numFmtId="0" fontId="4" fillId="0" borderId="12" xfId="0" applyFont="1" applyBorder="1"/>
    <xf numFmtId="2" fontId="4" fillId="0" borderId="13" xfId="0" applyNumberFormat="1" applyFont="1" applyBorder="1"/>
    <xf numFmtId="165" fontId="4" fillId="0" borderId="0" xfId="0" applyNumberFormat="1" applyFont="1" applyAlignment="1">
      <alignment horizontal="left"/>
    </xf>
    <xf numFmtId="0" fontId="4" fillId="4" borderId="14" xfId="0" applyFont="1" applyFill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4" xfId="0" applyFont="1" applyBorder="1"/>
    <xf numFmtId="10" fontId="5" fillId="0" borderId="0" xfId="0" applyNumberFormat="1" applyFont="1"/>
    <xf numFmtId="0" fontId="4" fillId="0" borderId="9" xfId="0" applyFont="1" applyBorder="1" applyAlignment="1">
      <alignment wrapText="1"/>
    </xf>
    <xf numFmtId="0" fontId="4" fillId="0" borderId="10" xfId="0" applyFont="1" applyBorder="1" applyAlignment="1">
      <alignment wrapText="1"/>
    </xf>
    <xf numFmtId="0" fontId="4" fillId="0" borderId="10" xfId="0" applyFont="1" applyBorder="1" applyAlignment="1">
      <alignment horizontal="center" wrapText="1"/>
    </xf>
    <xf numFmtId="1" fontId="4" fillId="0" borderId="9" xfId="0" applyNumberFormat="1" applyFont="1" applyBorder="1" applyAlignment="1">
      <alignment wrapText="1"/>
    </xf>
    <xf numFmtId="0" fontId="4" fillId="0" borderId="11" xfId="0" applyFont="1" applyBorder="1" applyAlignment="1">
      <alignment wrapText="1"/>
    </xf>
    <xf numFmtId="0" fontId="5" fillId="0" borderId="12" xfId="0" applyFont="1" applyBorder="1" applyAlignment="1">
      <alignment wrapText="1"/>
    </xf>
    <xf numFmtId="2" fontId="4" fillId="0" borderId="12" xfId="0" applyNumberFormat="1" applyFont="1" applyBorder="1" applyAlignment="1">
      <alignment wrapText="1"/>
    </xf>
    <xf numFmtId="2" fontId="4" fillId="0" borderId="12" xfId="0" applyNumberFormat="1" applyFont="1" applyBorder="1" applyAlignment="1">
      <alignment horizontal="right" wrapText="1"/>
    </xf>
    <xf numFmtId="0" fontId="4" fillId="0" borderId="12" xfId="0" applyFont="1" applyBorder="1" applyAlignment="1">
      <alignment wrapText="1"/>
    </xf>
    <xf numFmtId="2" fontId="4" fillId="0" borderId="13" xfId="0" applyNumberFormat="1" applyFont="1" applyBorder="1" applyAlignment="1">
      <alignment wrapText="1"/>
    </xf>
    <xf numFmtId="0" fontId="4" fillId="4" borderId="10" xfId="0" applyFont="1" applyFill="1" applyBorder="1" applyAlignment="1">
      <alignment horizontal="center"/>
    </xf>
    <xf numFmtId="0" fontId="5" fillId="0" borderId="8" xfId="0" applyFont="1" applyBorder="1" applyAlignment="1">
      <alignment horizontal="right"/>
    </xf>
    <xf numFmtId="9" fontId="4" fillId="0" borderId="8" xfId="1" applyFont="1" applyBorder="1"/>
    <xf numFmtId="0" fontId="5" fillId="2" borderId="8" xfId="0" applyFont="1" applyFill="1" applyBorder="1"/>
    <xf numFmtId="164" fontId="5" fillId="0" borderId="8" xfId="0" applyNumberFormat="1" applyFont="1" applyBorder="1"/>
    <xf numFmtId="0" fontId="4" fillId="3" borderId="8" xfId="0" applyFont="1" applyFill="1" applyBorder="1"/>
    <xf numFmtId="2" fontId="8" fillId="0" borderId="8" xfId="0" applyNumberFormat="1" applyFont="1" applyBorder="1"/>
    <xf numFmtId="0" fontId="5" fillId="0" borderId="16" xfId="0" applyFont="1" applyBorder="1" applyAlignment="1">
      <alignment horizontal="center" vertical="center"/>
    </xf>
    <xf numFmtId="0" fontId="4" fillId="0" borderId="16" xfId="0" applyFont="1" applyBorder="1"/>
    <xf numFmtId="0" fontId="5" fillId="0" borderId="16" xfId="0" applyFont="1" applyBorder="1"/>
    <xf numFmtId="0" fontId="5" fillId="0" borderId="10" xfId="0" applyFont="1" applyBorder="1"/>
    <xf numFmtId="0" fontId="5" fillId="2" borderId="10" xfId="0" applyFont="1" applyFill="1" applyBorder="1"/>
    <xf numFmtId="0" fontId="4" fillId="0" borderId="9" xfId="0" applyFont="1" applyBorder="1" applyAlignment="1">
      <alignment horizontal="right"/>
    </xf>
    <xf numFmtId="0" fontId="4" fillId="0" borderId="13" xfId="0" applyFont="1" applyBorder="1"/>
    <xf numFmtId="164" fontId="5" fillId="5" borderId="8" xfId="0" applyNumberFormat="1" applyFont="1" applyFill="1" applyBorder="1"/>
    <xf numFmtId="2" fontId="5" fillId="5" borderId="8" xfId="0" applyNumberFormat="1" applyFont="1" applyFill="1" applyBorder="1"/>
    <xf numFmtId="0" fontId="5" fillId="0" borderId="3" xfId="0" applyFont="1" applyBorder="1"/>
    <xf numFmtId="3" fontId="5" fillId="0" borderId="0" xfId="0" applyNumberFormat="1" applyFont="1"/>
    <xf numFmtId="3" fontId="8" fillId="0" borderId="0" xfId="0" applyNumberFormat="1" applyFont="1"/>
    <xf numFmtId="0" fontId="4" fillId="4" borderId="9" xfId="0" applyFont="1" applyFill="1" applyBorder="1"/>
    <xf numFmtId="0" fontId="9" fillId="4" borderId="8" xfId="0" applyFont="1" applyFill="1" applyBorder="1" applyAlignment="1">
      <alignment horizontal="center"/>
    </xf>
    <xf numFmtId="16" fontId="9" fillId="4" borderId="8" xfId="0" applyNumberFormat="1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 wrapText="1"/>
    </xf>
    <xf numFmtId="16" fontId="4" fillId="4" borderId="8" xfId="0" applyNumberFormat="1" applyFont="1" applyFill="1" applyBorder="1" applyAlignment="1">
      <alignment horizontal="center" wrapText="1"/>
    </xf>
    <xf numFmtId="2" fontId="4" fillId="4" borderId="8" xfId="0" applyNumberFormat="1" applyFont="1" applyFill="1" applyBorder="1" applyAlignment="1">
      <alignment horizontal="center" wrapText="1"/>
    </xf>
    <xf numFmtId="165" fontId="4" fillId="4" borderId="8" xfId="0" applyNumberFormat="1" applyFont="1" applyFill="1" applyBorder="1" applyAlignment="1">
      <alignment horizontal="center" wrapText="1"/>
    </xf>
    <xf numFmtId="0" fontId="4" fillId="4" borderId="10" xfId="0" applyFont="1" applyFill="1" applyBorder="1" applyAlignment="1">
      <alignment horizontal="center" wrapText="1"/>
    </xf>
    <xf numFmtId="16" fontId="4" fillId="4" borderId="8" xfId="0" applyNumberFormat="1" applyFont="1" applyFill="1" applyBorder="1" applyAlignment="1" applyProtection="1">
      <alignment horizontal="center"/>
      <protection locked="0"/>
    </xf>
    <xf numFmtId="2" fontId="7" fillId="4" borderId="8" xfId="0" applyNumberFormat="1" applyFont="1" applyFill="1" applyBorder="1" applyAlignment="1">
      <alignment horizontal="center"/>
    </xf>
    <xf numFmtId="0" fontId="11" fillId="4" borderId="10" xfId="0" applyFont="1" applyFill="1" applyBorder="1" applyAlignment="1">
      <alignment horizontal="center"/>
    </xf>
    <xf numFmtId="16" fontId="4" fillId="3" borderId="8" xfId="0" applyNumberFormat="1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2" fontId="4" fillId="3" borderId="8" xfId="0" applyNumberFormat="1" applyFont="1" applyFill="1" applyBorder="1" applyAlignment="1">
      <alignment horizontal="center"/>
    </xf>
    <xf numFmtId="165" fontId="4" fillId="3" borderId="8" xfId="0" applyNumberFormat="1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16" fontId="4" fillId="6" borderId="8" xfId="0" applyNumberFormat="1" applyFont="1" applyFill="1" applyBorder="1" applyAlignment="1">
      <alignment horizontal="center" wrapText="1"/>
    </xf>
    <xf numFmtId="0" fontId="4" fillId="6" borderId="8" xfId="0" applyFont="1" applyFill="1" applyBorder="1" applyAlignment="1">
      <alignment horizontal="center" wrapText="1"/>
    </xf>
    <xf numFmtId="2" fontId="4" fillId="6" borderId="8" xfId="0" applyNumberFormat="1" applyFont="1" applyFill="1" applyBorder="1" applyAlignment="1">
      <alignment horizontal="center" wrapText="1"/>
    </xf>
    <xf numFmtId="165" fontId="4" fillId="6" borderId="8" xfId="0" applyNumberFormat="1" applyFont="1" applyFill="1" applyBorder="1" applyAlignment="1">
      <alignment horizontal="center" wrapText="1"/>
    </xf>
    <xf numFmtId="0" fontId="4" fillId="6" borderId="10" xfId="0" applyFont="1" applyFill="1" applyBorder="1" applyAlignment="1">
      <alignment horizontal="center" wrapText="1"/>
    </xf>
    <xf numFmtId="16" fontId="4" fillId="6" borderId="8" xfId="0" applyNumberFormat="1" applyFont="1" applyFill="1" applyBorder="1" applyAlignment="1">
      <alignment horizontal="center"/>
    </xf>
    <xf numFmtId="0" fontId="4" fillId="6" borderId="8" xfId="0" applyFont="1" applyFill="1" applyBorder="1" applyAlignment="1">
      <alignment horizontal="center"/>
    </xf>
    <xf numFmtId="2" fontId="4" fillId="6" borderId="8" xfId="0" applyNumberFormat="1" applyFont="1" applyFill="1" applyBorder="1" applyAlignment="1">
      <alignment horizontal="center"/>
    </xf>
    <xf numFmtId="165" fontId="4" fillId="6" borderId="8" xfId="0" applyNumberFormat="1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9" fillId="6" borderId="8" xfId="0" applyFont="1" applyFill="1" applyBorder="1" applyAlignment="1">
      <alignment horizontal="center"/>
    </xf>
    <xf numFmtId="2" fontId="9" fillId="6" borderId="8" xfId="0" applyNumberFormat="1" applyFont="1" applyFill="1" applyBorder="1" applyAlignment="1">
      <alignment horizontal="center"/>
    </xf>
    <xf numFmtId="0" fontId="11" fillId="3" borderId="10" xfId="0" applyFont="1" applyFill="1" applyBorder="1" applyAlignment="1">
      <alignment horizontal="center"/>
    </xf>
    <xf numFmtId="0" fontId="11" fillId="3" borderId="8" xfId="0" applyFont="1" applyFill="1" applyBorder="1" applyAlignment="1">
      <alignment horizontal="center"/>
    </xf>
    <xf numFmtId="16" fontId="11" fillId="3" borderId="8" xfId="0" applyNumberFormat="1" applyFont="1" applyFill="1" applyBorder="1" applyAlignment="1">
      <alignment horizontal="center"/>
    </xf>
    <xf numFmtId="2" fontId="11" fillId="3" borderId="8" xfId="0" applyNumberFormat="1" applyFont="1" applyFill="1" applyBorder="1" applyAlignment="1">
      <alignment horizontal="center"/>
    </xf>
    <xf numFmtId="165" fontId="11" fillId="3" borderId="8" xfId="0" applyNumberFormat="1" applyFont="1" applyFill="1" applyBorder="1" applyAlignment="1">
      <alignment horizontal="center"/>
    </xf>
    <xf numFmtId="0" fontId="4" fillId="6" borderId="14" xfId="0" applyFont="1" applyFill="1" applyBorder="1" applyAlignment="1">
      <alignment horizontal="center"/>
    </xf>
    <xf numFmtId="2" fontId="7" fillId="3" borderId="8" xfId="0" applyNumberFormat="1" applyFont="1" applyFill="1" applyBorder="1" applyAlignment="1">
      <alignment horizontal="center"/>
    </xf>
    <xf numFmtId="0" fontId="4" fillId="3" borderId="14" xfId="0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 wrapText="1"/>
    </xf>
    <xf numFmtId="16" fontId="4" fillId="3" borderId="8" xfId="0" applyNumberFormat="1" applyFont="1" applyFill="1" applyBorder="1" applyAlignment="1">
      <alignment horizontal="center" wrapText="1"/>
    </xf>
    <xf numFmtId="0" fontId="4" fillId="3" borderId="8" xfId="0" applyFont="1" applyFill="1" applyBorder="1" applyAlignment="1">
      <alignment horizontal="center" wrapText="1"/>
    </xf>
    <xf numFmtId="2" fontId="7" fillId="3" borderId="8" xfId="0" applyNumberFormat="1" applyFont="1" applyFill="1" applyBorder="1" applyAlignment="1">
      <alignment horizontal="center" wrapText="1"/>
    </xf>
    <xf numFmtId="2" fontId="4" fillId="3" borderId="8" xfId="0" applyNumberFormat="1" applyFont="1" applyFill="1" applyBorder="1" applyAlignment="1">
      <alignment horizontal="center" wrapText="1"/>
    </xf>
    <xf numFmtId="165" fontId="4" fillId="3" borderId="8" xfId="0" applyNumberFormat="1" applyFont="1" applyFill="1" applyBorder="1" applyAlignment="1">
      <alignment horizontal="center" wrapText="1"/>
    </xf>
    <xf numFmtId="0" fontId="4" fillId="3" borderId="10" xfId="0" applyFont="1" applyFill="1" applyBorder="1" applyAlignment="1">
      <alignment horizontal="center" wrapText="1"/>
    </xf>
    <xf numFmtId="0" fontId="9" fillId="3" borderId="8" xfId="0" applyFont="1" applyFill="1" applyBorder="1" applyAlignment="1">
      <alignment horizontal="center"/>
    </xf>
    <xf numFmtId="16" fontId="9" fillId="3" borderId="8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15" xfId="0" applyFont="1" applyBorder="1" applyAlignment="1">
      <alignment horizontal="right" vertical="center"/>
    </xf>
    <xf numFmtId="0" fontId="5" fillId="0" borderId="16" xfId="0" applyFont="1" applyBorder="1" applyAlignment="1">
      <alignment horizontal="right" vertical="center"/>
    </xf>
    <xf numFmtId="0" fontId="5" fillId="0" borderId="9" xfId="0" applyFont="1" applyBorder="1" applyAlignment="1">
      <alignment horizontal="right"/>
    </xf>
    <xf numFmtId="0" fontId="5" fillId="0" borderId="8" xfId="0" applyFont="1" applyBorder="1" applyAlignment="1">
      <alignment horizontal="right"/>
    </xf>
    <xf numFmtId="0" fontId="5" fillId="2" borderId="9" xfId="0" applyFont="1" applyFill="1" applyBorder="1" applyAlignment="1">
      <alignment horizontal="right"/>
    </xf>
    <xf numFmtId="0" fontId="5" fillId="2" borderId="8" xfId="0" applyFont="1" applyFill="1" applyBorder="1" applyAlignment="1">
      <alignment horizontal="right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8" xfId="0" applyFont="1" applyBorder="1" applyAlignment="1">
      <alignment horizontal="left"/>
    </xf>
    <xf numFmtId="1" fontId="11" fillId="7" borderId="8" xfId="0" applyNumberFormat="1" applyFont="1" applyFill="1" applyBorder="1" applyAlignment="1">
      <alignment horizontal="center"/>
    </xf>
    <xf numFmtId="16" fontId="11" fillId="7" borderId="8" xfId="0" applyNumberFormat="1" applyFont="1" applyFill="1" applyBorder="1" applyAlignment="1">
      <alignment horizontal="center"/>
    </xf>
    <xf numFmtId="0" fontId="11" fillId="7" borderId="8" xfId="0" applyFont="1" applyFill="1" applyBorder="1" applyAlignment="1">
      <alignment horizontal="center"/>
    </xf>
    <xf numFmtId="0" fontId="4" fillId="7" borderId="8" xfId="0" applyFont="1" applyFill="1" applyBorder="1" applyAlignment="1">
      <alignment horizontal="center"/>
    </xf>
    <xf numFmtId="2" fontId="11" fillId="7" borderId="8" xfId="0" applyNumberFormat="1" applyFont="1" applyFill="1" applyBorder="1" applyAlignment="1">
      <alignment horizontal="center"/>
    </xf>
    <xf numFmtId="165" fontId="11" fillId="7" borderId="8" xfId="0" applyNumberFormat="1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  <xf numFmtId="0" fontId="7" fillId="7" borderId="8" xfId="0" applyFont="1" applyFill="1" applyBorder="1" applyAlignment="1">
      <alignment horizontal="center"/>
    </xf>
    <xf numFmtId="16" fontId="4" fillId="7" borderId="8" xfId="0" applyNumberFormat="1" applyFont="1" applyFill="1" applyBorder="1" applyAlignment="1">
      <alignment horizontal="center"/>
    </xf>
    <xf numFmtId="2" fontId="7" fillId="7" borderId="8" xfId="0" applyNumberFormat="1" applyFont="1" applyFill="1" applyBorder="1" applyAlignment="1">
      <alignment horizontal="center"/>
    </xf>
    <xf numFmtId="2" fontId="4" fillId="7" borderId="8" xfId="0" applyNumberFormat="1" applyFont="1" applyFill="1" applyBorder="1" applyAlignment="1">
      <alignment horizontal="center"/>
    </xf>
    <xf numFmtId="165" fontId="4" fillId="7" borderId="8" xfId="0" applyNumberFormat="1" applyFont="1" applyFill="1" applyBorder="1" applyAlignment="1">
      <alignment horizontal="center"/>
    </xf>
    <xf numFmtId="1" fontId="4" fillId="7" borderId="10" xfId="0" applyNumberFormat="1" applyFont="1" applyFill="1" applyBorder="1" applyAlignment="1">
      <alignment horizontal="center"/>
    </xf>
    <xf numFmtId="1" fontId="7" fillId="7" borderId="8" xfId="0" applyNumberFormat="1" applyFont="1" applyFill="1" applyBorder="1" applyAlignment="1">
      <alignment horizontal="center"/>
    </xf>
    <xf numFmtId="1" fontId="4" fillId="7" borderId="8" xfId="0" applyNumberFormat="1" applyFont="1" applyFill="1" applyBorder="1" applyAlignment="1">
      <alignment horizontal="center"/>
    </xf>
    <xf numFmtId="0" fontId="4" fillId="7" borderId="14" xfId="0" applyFont="1" applyFill="1" applyBorder="1" applyAlignment="1">
      <alignment horizont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FCF2D-7259-4440-9FA1-B5C71DFD30F0}">
  <dimension ref="A1:AN66"/>
  <sheetViews>
    <sheetView tabSelected="1" topLeftCell="B1" zoomScale="82" zoomScaleNormal="82" workbookViewId="0">
      <selection activeCell="U14" sqref="U14"/>
    </sheetView>
  </sheetViews>
  <sheetFormatPr defaultRowHeight="15" x14ac:dyDescent="0.25"/>
  <cols>
    <col min="1" max="1" width="14.5703125" customWidth="1"/>
    <col min="2" max="2" width="16.7109375" customWidth="1"/>
    <col min="3" max="3" width="10.5703125" customWidth="1"/>
    <col min="6" max="6" width="12.140625" customWidth="1"/>
    <col min="7" max="7" width="16.42578125" customWidth="1"/>
    <col min="8" max="8" width="13.85546875" customWidth="1"/>
    <col min="9" max="9" width="13.42578125" customWidth="1"/>
    <col min="11" max="11" width="14.140625" customWidth="1"/>
    <col min="12" max="12" width="11.42578125" customWidth="1"/>
    <col min="13" max="13" width="12.5703125" customWidth="1"/>
    <col min="16" max="16" width="8" customWidth="1"/>
    <col min="17" max="17" width="15.42578125" customWidth="1"/>
    <col min="18" max="18" width="12.140625" customWidth="1"/>
    <col min="19" max="19" width="12.42578125" customWidth="1"/>
    <col min="20" max="20" width="5.85546875" customWidth="1"/>
    <col min="21" max="21" width="17.5703125" customWidth="1"/>
    <col min="22" max="22" width="11.7109375" customWidth="1"/>
    <col min="23" max="23" width="13.5703125" customWidth="1"/>
    <col min="24" max="24" width="8" customWidth="1"/>
    <col min="25" max="25" width="5.85546875" customWidth="1"/>
    <col min="26" max="26" width="13.5703125" customWidth="1"/>
    <col min="27" max="27" width="14.42578125" customWidth="1"/>
    <col min="28" max="28" width="11.5703125" customWidth="1"/>
    <col min="29" max="29" width="14.42578125" customWidth="1"/>
    <col min="32" max="32" width="25.28515625" customWidth="1"/>
    <col min="33" max="33" width="15" customWidth="1"/>
    <col min="34" max="34" width="17.140625" customWidth="1"/>
    <col min="37" max="37" width="18" customWidth="1"/>
    <col min="38" max="38" width="19" customWidth="1"/>
    <col min="39" max="39" width="13.28515625" customWidth="1"/>
    <col min="40" max="40" width="13.85546875" customWidth="1"/>
  </cols>
  <sheetData>
    <row r="1" spans="1:40" ht="23.25" x14ac:dyDescent="0.35">
      <c r="A1" s="1" t="s">
        <v>0</v>
      </c>
      <c r="B1" s="1" t="s">
        <v>1</v>
      </c>
      <c r="C1" s="152"/>
      <c r="D1" s="152"/>
      <c r="E1" s="2"/>
      <c r="F1" s="3"/>
      <c r="G1" s="4"/>
      <c r="H1" s="5"/>
      <c r="I1" s="2"/>
      <c r="J1" s="6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40" ht="24" thickBot="1" x14ac:dyDescent="0.4">
      <c r="A2" s="1" t="s">
        <v>2</v>
      </c>
      <c r="B2" s="153"/>
      <c r="C2" s="153"/>
      <c r="D2" s="2"/>
      <c r="E2" s="2"/>
      <c r="F2" s="3"/>
      <c r="G2" s="2"/>
      <c r="H2" s="2"/>
      <c r="I2" s="2"/>
      <c r="J2" s="6"/>
      <c r="K2" s="2"/>
      <c r="L2" s="2"/>
      <c r="M2" s="2"/>
      <c r="N2" s="2"/>
      <c r="O2" s="2"/>
      <c r="P2" s="2"/>
      <c r="Q2" s="2"/>
      <c r="R2" s="2"/>
      <c r="S2" s="2"/>
      <c r="T2" s="7"/>
      <c r="U2" s="7"/>
      <c r="V2" s="7"/>
      <c r="W2" s="7"/>
      <c r="X2" s="7"/>
      <c r="Y2" s="7"/>
      <c r="Z2" s="7"/>
      <c r="AA2" s="7"/>
      <c r="AB2" s="7"/>
      <c r="AC2" s="7"/>
    </row>
    <row r="3" spans="1:40" ht="54" x14ac:dyDescent="0.25">
      <c r="A3" s="8" t="s">
        <v>3</v>
      </c>
      <c r="B3" s="9" t="s">
        <v>4</v>
      </c>
      <c r="C3" s="9" t="s">
        <v>5</v>
      </c>
      <c r="D3" s="9" t="s">
        <v>6</v>
      </c>
      <c r="E3" s="9" t="s">
        <v>7</v>
      </c>
      <c r="F3" s="10" t="s">
        <v>8</v>
      </c>
      <c r="G3" s="10" t="s">
        <v>9</v>
      </c>
      <c r="H3" s="9" t="s">
        <v>10</v>
      </c>
      <c r="I3" s="11" t="s">
        <v>11</v>
      </c>
      <c r="J3" s="12"/>
      <c r="K3" s="8" t="s">
        <v>12</v>
      </c>
      <c r="L3" s="9" t="s">
        <v>4</v>
      </c>
      <c r="M3" s="9" t="s">
        <v>5</v>
      </c>
      <c r="N3" s="9" t="s">
        <v>6</v>
      </c>
      <c r="O3" s="9" t="s">
        <v>7</v>
      </c>
      <c r="P3" s="10" t="s">
        <v>8</v>
      </c>
      <c r="Q3" s="10" t="s">
        <v>9</v>
      </c>
      <c r="R3" s="9" t="s">
        <v>10</v>
      </c>
      <c r="S3" s="11" t="s">
        <v>11</v>
      </c>
      <c r="T3" s="13"/>
      <c r="U3" s="8" t="s">
        <v>13</v>
      </c>
      <c r="V3" s="9" t="s">
        <v>4</v>
      </c>
      <c r="W3" s="9" t="s">
        <v>5</v>
      </c>
      <c r="X3" s="9" t="s">
        <v>6</v>
      </c>
      <c r="Y3" s="9" t="s">
        <v>7</v>
      </c>
      <c r="Z3" s="10" t="s">
        <v>8</v>
      </c>
      <c r="AA3" s="10" t="s">
        <v>9</v>
      </c>
      <c r="AB3" s="9" t="s">
        <v>10</v>
      </c>
      <c r="AC3" s="11" t="s">
        <v>11</v>
      </c>
      <c r="AF3" s="154" t="s">
        <v>14</v>
      </c>
      <c r="AG3" s="155"/>
      <c r="AH3" s="94">
        <v>529586</v>
      </c>
      <c r="AI3" s="95"/>
      <c r="AJ3" s="96" t="s">
        <v>15</v>
      </c>
      <c r="AK3" s="95"/>
      <c r="AL3" s="103">
        <v>160000</v>
      </c>
      <c r="AM3" s="160" t="s">
        <v>16</v>
      </c>
      <c r="AN3" s="161"/>
    </row>
    <row r="4" spans="1:40" ht="18" x14ac:dyDescent="0.25">
      <c r="A4" s="14" t="s">
        <v>17</v>
      </c>
      <c r="B4" s="56">
        <v>39600</v>
      </c>
      <c r="C4" s="3"/>
      <c r="D4" s="3"/>
      <c r="E4" s="3"/>
      <c r="F4" s="57"/>
      <c r="G4" s="57"/>
      <c r="H4" s="3"/>
      <c r="I4" s="15"/>
      <c r="J4" s="16"/>
      <c r="K4" s="14" t="s">
        <v>17</v>
      </c>
      <c r="L4" s="56">
        <v>39400</v>
      </c>
      <c r="M4" s="3"/>
      <c r="N4" s="3"/>
      <c r="O4" s="3"/>
      <c r="P4" s="57"/>
      <c r="Q4" s="57"/>
      <c r="R4" s="3"/>
      <c r="S4" s="15"/>
      <c r="T4" s="7"/>
      <c r="U4" s="14" t="s">
        <v>17</v>
      </c>
      <c r="V4" s="56">
        <v>40000</v>
      </c>
      <c r="W4" s="3"/>
      <c r="X4" s="3"/>
      <c r="Y4" s="3"/>
      <c r="Z4" s="57"/>
      <c r="AA4" s="57"/>
      <c r="AB4" s="3"/>
      <c r="AC4" s="15"/>
      <c r="AF4" s="156" t="s">
        <v>18</v>
      </c>
      <c r="AG4" s="157"/>
      <c r="AH4" s="40">
        <f>(B5+L5+V5+B21+L21+V21+B37+L37+V37+B54+L54+V54)/AH3</f>
        <v>2.833534119104357E-2</v>
      </c>
      <c r="AI4" s="19"/>
      <c r="AJ4" s="27" t="s">
        <v>19</v>
      </c>
      <c r="AK4" s="19"/>
      <c r="AL4" s="104">
        <v>2142600</v>
      </c>
      <c r="AM4" s="27" t="s">
        <v>20</v>
      </c>
      <c r="AN4" s="97">
        <f>(1.78/AL10)</f>
        <v>1.3042003426013269</v>
      </c>
    </row>
    <row r="5" spans="1:40" ht="18" x14ac:dyDescent="0.25">
      <c r="A5" s="14" t="s">
        <v>21</v>
      </c>
      <c r="B5" s="56">
        <v>284</v>
      </c>
      <c r="C5" s="59">
        <f>B5/B4</f>
        <v>7.1717171717171719E-3</v>
      </c>
      <c r="D5" s="5"/>
      <c r="E5" s="5"/>
      <c r="F5" s="60"/>
      <c r="G5" s="61"/>
      <c r="H5" s="2"/>
      <c r="I5" s="15"/>
      <c r="J5" s="6"/>
      <c r="K5" s="14" t="s">
        <v>21</v>
      </c>
      <c r="L5" s="56">
        <v>1040</v>
      </c>
      <c r="M5" s="59">
        <f>L5/L4</f>
        <v>2.6395939086294416E-2</v>
      </c>
      <c r="N5" s="3"/>
      <c r="O5" s="3"/>
      <c r="P5" s="72"/>
      <c r="Q5" s="61"/>
      <c r="R5" s="2"/>
      <c r="S5" s="15"/>
      <c r="T5" s="7"/>
      <c r="U5" s="14" t="s">
        <v>21</v>
      </c>
      <c r="V5" s="58">
        <v>-1088</v>
      </c>
      <c r="W5" s="76">
        <f>V5/V4</f>
        <v>-2.7199999999999998E-2</v>
      </c>
      <c r="X5" s="3">
        <v>0</v>
      </c>
      <c r="Y5" s="3"/>
      <c r="Z5" s="72"/>
      <c r="AA5" s="61"/>
      <c r="AB5" s="2"/>
      <c r="AC5" s="15"/>
      <c r="AF5" s="156" t="s">
        <v>9</v>
      </c>
      <c r="AG5" s="157"/>
      <c r="AH5" s="26">
        <v>1456118</v>
      </c>
      <c r="AI5" s="89"/>
      <c r="AJ5" s="162" t="s">
        <v>22</v>
      </c>
      <c r="AK5" s="162"/>
      <c r="AL5" s="3">
        <v>168000</v>
      </c>
      <c r="AM5" s="27" t="s">
        <v>23</v>
      </c>
      <c r="AN5" s="97">
        <f>(39.5/AH11)</f>
        <v>1.139605902387522</v>
      </c>
    </row>
    <row r="6" spans="1:40" ht="18" x14ac:dyDescent="0.25">
      <c r="A6" s="62"/>
      <c r="B6" s="170">
        <v>6688</v>
      </c>
      <c r="C6" s="171">
        <v>46134</v>
      </c>
      <c r="D6" s="166">
        <v>32</v>
      </c>
      <c r="E6" s="166" t="s">
        <v>24</v>
      </c>
      <c r="F6" s="172">
        <v>2.09</v>
      </c>
      <c r="G6" s="173">
        <v>13992</v>
      </c>
      <c r="H6" s="174">
        <f>F6/1.999</f>
        <v>1.0455227613806901</v>
      </c>
      <c r="I6" s="175">
        <f>B6*D6</f>
        <v>214016</v>
      </c>
      <c r="J6" s="6"/>
      <c r="K6" s="62"/>
      <c r="L6" s="176">
        <v>6688</v>
      </c>
      <c r="M6" s="171">
        <v>46134</v>
      </c>
      <c r="N6" s="177">
        <v>32</v>
      </c>
      <c r="O6" s="166" t="s">
        <v>24</v>
      </c>
      <c r="P6" s="172">
        <v>2.09</v>
      </c>
      <c r="Q6" s="173">
        <v>13995</v>
      </c>
      <c r="R6" s="174">
        <f>P6/1.999</f>
        <v>1.0455227613806901</v>
      </c>
      <c r="S6" s="178">
        <f>L6*N6</f>
        <v>214016</v>
      </c>
      <c r="T6" s="7"/>
      <c r="U6" s="62"/>
      <c r="V6" s="163">
        <v>5168</v>
      </c>
      <c r="W6" s="164">
        <v>46134</v>
      </c>
      <c r="X6" s="165">
        <v>32</v>
      </c>
      <c r="Y6" s="166" t="s">
        <v>24</v>
      </c>
      <c r="Z6" s="167">
        <v>2</v>
      </c>
      <c r="AA6" s="167">
        <v>10357</v>
      </c>
      <c r="AB6" s="168">
        <f>Z6/1.999</f>
        <v>1.0005002501250624</v>
      </c>
      <c r="AC6" s="169">
        <f>V6*X6</f>
        <v>165376</v>
      </c>
      <c r="AF6" s="156" t="s">
        <v>25</v>
      </c>
      <c r="AG6" s="157"/>
      <c r="AH6" s="26">
        <v>515520</v>
      </c>
      <c r="AI6" s="89">
        <f>AH6/AH5</f>
        <v>0.35403724148729704</v>
      </c>
      <c r="AJ6" s="27" t="s">
        <v>26</v>
      </c>
      <c r="AK6" s="19"/>
      <c r="AL6" s="105">
        <v>2134600</v>
      </c>
      <c r="AM6" s="90" t="s">
        <v>27</v>
      </c>
      <c r="AN6" s="98">
        <f>((AN4*0.7)+(AN5*0.3))</f>
        <v>1.2548220105371852</v>
      </c>
    </row>
    <row r="7" spans="1:40" ht="18" x14ac:dyDescent="0.25">
      <c r="A7" s="62"/>
      <c r="B7" s="170">
        <v>6160</v>
      </c>
      <c r="C7" s="171">
        <v>46136</v>
      </c>
      <c r="D7" s="166">
        <v>34</v>
      </c>
      <c r="E7" s="166" t="s">
        <v>24</v>
      </c>
      <c r="F7" s="172">
        <v>2.06</v>
      </c>
      <c r="G7" s="173">
        <v>12681</v>
      </c>
      <c r="H7" s="174">
        <f>F7/2.196</f>
        <v>0.93806921675774135</v>
      </c>
      <c r="I7" s="169">
        <f>B7*D7</f>
        <v>209440</v>
      </c>
      <c r="J7" s="6"/>
      <c r="K7" s="62"/>
      <c r="L7" s="170">
        <v>6160</v>
      </c>
      <c r="M7" s="171">
        <v>46136</v>
      </c>
      <c r="N7" s="166">
        <v>34</v>
      </c>
      <c r="O7" s="166" t="s">
        <v>24</v>
      </c>
      <c r="P7" s="172">
        <v>2.1800000000000002</v>
      </c>
      <c r="Q7" s="173">
        <v>13452</v>
      </c>
      <c r="R7" s="174">
        <f>P7/2.196</f>
        <v>0.9927140255009107</v>
      </c>
      <c r="S7" s="178">
        <f t="shared" ref="S7:S9" si="0">L7*N7</f>
        <v>209440</v>
      </c>
      <c r="T7" s="7"/>
      <c r="U7" s="62"/>
      <c r="V7" s="165">
        <v>10208</v>
      </c>
      <c r="W7" s="164">
        <v>46139</v>
      </c>
      <c r="X7" s="165">
        <v>37</v>
      </c>
      <c r="Y7" s="166" t="s">
        <v>24</v>
      </c>
      <c r="Z7" s="167">
        <v>2.56</v>
      </c>
      <c r="AA7" s="167">
        <v>26146</v>
      </c>
      <c r="AB7" s="168">
        <f>Z7/2.496</f>
        <v>1.0256410256410258</v>
      </c>
      <c r="AC7" s="169">
        <f>V7*X7</f>
        <v>377696</v>
      </c>
      <c r="AF7" s="156" t="s">
        <v>28</v>
      </c>
      <c r="AG7" s="157"/>
      <c r="AH7" s="26">
        <f>D16+N16+X16+D32+N32+X32+D48+N48+X48+D65+N65+X65</f>
        <v>2079</v>
      </c>
      <c r="AI7" s="19"/>
      <c r="AJ7" s="27"/>
      <c r="AK7" s="19"/>
      <c r="AL7" s="27"/>
      <c r="AM7" s="19"/>
      <c r="AN7" s="65" t="s">
        <v>29</v>
      </c>
    </row>
    <row r="8" spans="1:40" ht="18" x14ac:dyDescent="0.25">
      <c r="A8" s="62"/>
      <c r="B8" s="142">
        <v>24128</v>
      </c>
      <c r="C8" s="117">
        <v>46093</v>
      </c>
      <c r="D8" s="118">
        <v>43</v>
      </c>
      <c r="E8" s="118" t="s">
        <v>24</v>
      </c>
      <c r="F8" s="140">
        <v>3.12</v>
      </c>
      <c r="G8" s="119">
        <v>75245</v>
      </c>
      <c r="H8" s="120">
        <f>F8/3.097</f>
        <v>1.0074265418146593</v>
      </c>
      <c r="I8" s="121">
        <f>B8*D8</f>
        <v>1037504</v>
      </c>
      <c r="J8" s="6"/>
      <c r="K8" s="62"/>
      <c r="L8" s="142">
        <v>24128</v>
      </c>
      <c r="M8" s="117">
        <v>46092</v>
      </c>
      <c r="N8" s="118">
        <v>43</v>
      </c>
      <c r="O8" s="118" t="s">
        <v>24</v>
      </c>
      <c r="P8" s="140">
        <v>2.92</v>
      </c>
      <c r="Q8" s="119">
        <v>70392</v>
      </c>
      <c r="R8" s="120">
        <f>P8/3.097</f>
        <v>0.94284791733936069</v>
      </c>
      <c r="S8" s="141">
        <f t="shared" si="0"/>
        <v>1037504</v>
      </c>
      <c r="T8" s="7"/>
      <c r="U8" s="62"/>
      <c r="V8" s="135">
        <v>9504</v>
      </c>
      <c r="W8" s="136">
        <v>46090</v>
      </c>
      <c r="X8" s="135">
        <v>41</v>
      </c>
      <c r="Y8" s="118" t="s">
        <v>24</v>
      </c>
      <c r="Z8" s="137">
        <v>2.75</v>
      </c>
      <c r="AA8" s="137">
        <v>26124</v>
      </c>
      <c r="AB8" s="138">
        <f>Z8/2.898</f>
        <v>0.94893029675638363</v>
      </c>
      <c r="AC8" s="121">
        <f>V8*X8</f>
        <v>389664</v>
      </c>
      <c r="AF8" s="156" t="s">
        <v>30</v>
      </c>
      <c r="AG8" s="157"/>
      <c r="AH8" s="39">
        <f>AH5/AH6</f>
        <v>2.8245616076970825</v>
      </c>
      <c r="AI8" s="19"/>
      <c r="AJ8" s="27" t="s">
        <v>31</v>
      </c>
      <c r="AK8" s="19"/>
      <c r="AL8" s="91">
        <f>AL6/AH5</f>
        <v>1.4659526219715711</v>
      </c>
      <c r="AM8" s="27" t="s">
        <v>32</v>
      </c>
      <c r="AN8" s="65">
        <f>AN6*0.005</f>
        <v>6.2741100526859262E-3</v>
      </c>
    </row>
    <row r="9" spans="1:40" ht="18" x14ac:dyDescent="0.25">
      <c r="A9" s="62"/>
      <c r="B9" s="128"/>
      <c r="C9" s="127"/>
      <c r="D9" s="128">
        <v>0</v>
      </c>
      <c r="E9" s="128" t="s">
        <v>24</v>
      </c>
      <c r="F9" s="129">
        <v>0</v>
      </c>
      <c r="G9" s="129">
        <v>0</v>
      </c>
      <c r="H9" s="130">
        <f>F9/2.898</f>
        <v>0</v>
      </c>
      <c r="I9" s="131">
        <f>B9*D9</f>
        <v>0</v>
      </c>
      <c r="J9" s="6"/>
      <c r="K9" s="62"/>
      <c r="L9" s="128"/>
      <c r="M9" s="127"/>
      <c r="N9" s="128"/>
      <c r="O9" s="128" t="s">
        <v>24</v>
      </c>
      <c r="P9" s="129">
        <v>0</v>
      </c>
      <c r="Q9" s="129">
        <v>0</v>
      </c>
      <c r="R9" s="130">
        <f>P9/3.49</f>
        <v>0</v>
      </c>
      <c r="S9" s="139">
        <f t="shared" si="0"/>
        <v>0</v>
      </c>
      <c r="T9" s="7"/>
      <c r="U9" s="62"/>
      <c r="V9" s="135">
        <v>14864</v>
      </c>
      <c r="W9" s="136">
        <v>46092</v>
      </c>
      <c r="X9" s="135">
        <v>43</v>
      </c>
      <c r="Y9" s="118" t="s">
        <v>24</v>
      </c>
      <c r="Z9" s="137">
        <v>3.01</v>
      </c>
      <c r="AA9" s="137">
        <v>44757</v>
      </c>
      <c r="AB9" s="138">
        <f>Z9/3.097</f>
        <v>0.97190829835324499</v>
      </c>
      <c r="AC9" s="121">
        <f>V9*X9</f>
        <v>639152</v>
      </c>
      <c r="AF9" s="99"/>
      <c r="AG9" s="88"/>
      <c r="AH9" s="39"/>
      <c r="AI9" s="19"/>
      <c r="AJ9" s="27"/>
      <c r="AK9" s="19"/>
      <c r="AL9" s="39"/>
      <c r="AM9" s="19"/>
      <c r="AN9" s="65"/>
    </row>
    <row r="10" spans="1:40" ht="18" x14ac:dyDescent="0.25">
      <c r="A10" s="62"/>
      <c r="B10" s="29"/>
      <c r="C10" s="114"/>
      <c r="D10" s="29"/>
      <c r="E10" s="29"/>
      <c r="F10" s="31">
        <v>0</v>
      </c>
      <c r="G10" s="31">
        <v>0</v>
      </c>
      <c r="H10" s="32">
        <f>F10/3.707</f>
        <v>0</v>
      </c>
      <c r="I10" s="87">
        <f>B10*D10</f>
        <v>0</v>
      </c>
      <c r="J10" s="6"/>
      <c r="K10" s="62"/>
      <c r="L10" s="107"/>
      <c r="M10" s="30"/>
      <c r="N10" s="29"/>
      <c r="O10" s="29"/>
      <c r="P10" s="115">
        <v>0</v>
      </c>
      <c r="Q10" s="31">
        <v>0</v>
      </c>
      <c r="R10" s="32">
        <f>P10/3.973</f>
        <v>0</v>
      </c>
      <c r="S10" s="73">
        <f t="shared" ref="S10:S15" si="1">L10*N10</f>
        <v>0</v>
      </c>
      <c r="T10" s="7"/>
      <c r="U10" s="62"/>
      <c r="V10" s="135">
        <v>4224</v>
      </c>
      <c r="W10" s="136">
        <v>46092</v>
      </c>
      <c r="X10" s="135">
        <v>43</v>
      </c>
      <c r="Y10" s="118" t="s">
        <v>24</v>
      </c>
      <c r="Z10" s="137">
        <v>3.04</v>
      </c>
      <c r="AA10" s="137">
        <v>12840</v>
      </c>
      <c r="AB10" s="138">
        <f>Z10/3.097</f>
        <v>0.98159509202453987</v>
      </c>
      <c r="AC10" s="121">
        <f t="shared" ref="AC10:AC14" si="2">V10*X10</f>
        <v>181632</v>
      </c>
      <c r="AF10" s="156" t="s">
        <v>11</v>
      </c>
      <c r="AG10" s="157"/>
      <c r="AH10" s="39">
        <f>SUM(I17+S17+AC17+I33+S33+AC33+I49+S49+AC49+I66+S66+AC66)/12</f>
        <v>39.722748486539658</v>
      </c>
      <c r="AI10" s="19"/>
      <c r="AJ10" s="90" t="s">
        <v>33</v>
      </c>
      <c r="AK10" s="92"/>
      <c r="AL10" s="101">
        <f>AL8-((AH8-2.45)*0.27)</f>
        <v>1.3648209878933588</v>
      </c>
      <c r="AM10" s="19"/>
      <c r="AN10" s="65"/>
    </row>
    <row r="11" spans="1:40" ht="18" x14ac:dyDescent="0.25">
      <c r="A11" s="62" t="s">
        <v>34</v>
      </c>
      <c r="B11" s="20"/>
      <c r="C11" s="21"/>
      <c r="D11" s="20"/>
      <c r="E11" s="20"/>
      <c r="F11" s="22"/>
      <c r="G11" s="22">
        <v>0</v>
      </c>
      <c r="H11" s="23">
        <f>F11/3.573</f>
        <v>0</v>
      </c>
      <c r="I11" s="63">
        <f t="shared" ref="I11:I15" si="3">B11*D11</f>
        <v>0</v>
      </c>
      <c r="J11" s="6"/>
      <c r="K11" s="62"/>
      <c r="L11" s="29"/>
      <c r="M11" s="30"/>
      <c r="N11" s="29"/>
      <c r="O11" s="29"/>
      <c r="P11" s="31"/>
      <c r="Q11" s="31">
        <f t="shared" ref="Q11:Q15" si="4">L11*P11</f>
        <v>0</v>
      </c>
      <c r="R11" s="32">
        <f>P11/4.16</f>
        <v>0</v>
      </c>
      <c r="S11" s="73">
        <f t="shared" si="1"/>
        <v>0</v>
      </c>
      <c r="T11" s="7"/>
      <c r="U11" s="62"/>
      <c r="V11" s="35"/>
      <c r="W11" s="21"/>
      <c r="X11" s="20"/>
      <c r="Y11" s="20" t="s">
        <v>24</v>
      </c>
      <c r="Z11" s="22">
        <v>0</v>
      </c>
      <c r="AA11" s="22">
        <f t="shared" ref="AA11:AA15" si="5">V11*Z11</f>
        <v>0</v>
      </c>
      <c r="AB11" s="23">
        <f>Z11/3.92</f>
        <v>0</v>
      </c>
      <c r="AC11" s="63">
        <f t="shared" si="2"/>
        <v>0</v>
      </c>
      <c r="AF11" s="158" t="s">
        <v>35</v>
      </c>
      <c r="AG11" s="159"/>
      <c r="AH11" s="102">
        <f>AH10-(((AH8-2.45)*1000)/74)</f>
        <v>34.661105139281787</v>
      </c>
      <c r="AI11" s="19"/>
      <c r="AJ11" s="19"/>
      <c r="AK11" s="19"/>
      <c r="AL11" s="19"/>
      <c r="AM11" s="19"/>
      <c r="AN11" s="65"/>
    </row>
    <row r="12" spans="1:40" ht="18" x14ac:dyDescent="0.25">
      <c r="A12" s="62"/>
      <c r="B12" s="24"/>
      <c r="C12" s="25"/>
      <c r="D12" s="20"/>
      <c r="E12" s="20"/>
      <c r="F12" s="22"/>
      <c r="G12" s="22">
        <f t="shared" ref="G12:G15" si="6">B12*F12</f>
        <v>0</v>
      </c>
      <c r="H12" s="23">
        <f>F12/3.603</f>
        <v>0</v>
      </c>
      <c r="I12" s="63">
        <f>B12*D12</f>
        <v>0</v>
      </c>
      <c r="J12" s="6"/>
      <c r="K12" s="62"/>
      <c r="L12" s="33"/>
      <c r="M12" s="21"/>
      <c r="N12" s="20"/>
      <c r="O12" s="20"/>
      <c r="P12" s="22"/>
      <c r="Q12" s="22">
        <f t="shared" si="4"/>
        <v>0</v>
      </c>
      <c r="R12" s="23">
        <f>P12/3.393</f>
        <v>0</v>
      </c>
      <c r="S12" s="74">
        <f t="shared" si="1"/>
        <v>0</v>
      </c>
      <c r="T12" s="7"/>
      <c r="U12" s="62"/>
      <c r="V12" s="20"/>
      <c r="W12" s="21"/>
      <c r="X12" s="20"/>
      <c r="Y12" s="20"/>
      <c r="Z12" s="22"/>
      <c r="AA12" s="22">
        <f t="shared" si="5"/>
        <v>0</v>
      </c>
      <c r="AB12" s="23">
        <f>Z12/3.743</f>
        <v>0</v>
      </c>
      <c r="AC12" s="63">
        <f t="shared" si="2"/>
        <v>0</v>
      </c>
      <c r="AF12" s="62"/>
      <c r="AG12" s="27"/>
      <c r="AH12" s="39"/>
      <c r="AI12" s="19"/>
      <c r="AJ12" s="19" t="s">
        <v>19</v>
      </c>
      <c r="AK12" s="19"/>
      <c r="AL12" s="39">
        <f>AL4/AH3</f>
        <v>4.0458018150026627</v>
      </c>
      <c r="AM12" s="20" t="s">
        <v>36</v>
      </c>
      <c r="AN12" s="65"/>
    </row>
    <row r="13" spans="1:40" ht="18" x14ac:dyDescent="0.25">
      <c r="A13" s="62"/>
      <c r="B13" s="20"/>
      <c r="C13" s="25"/>
      <c r="D13" s="20"/>
      <c r="E13" s="20"/>
      <c r="F13" s="22"/>
      <c r="G13" s="22">
        <f t="shared" si="6"/>
        <v>0</v>
      </c>
      <c r="H13" s="23">
        <f>F13/3.582</f>
        <v>0</v>
      </c>
      <c r="I13" s="63">
        <f t="shared" si="3"/>
        <v>0</v>
      </c>
      <c r="J13" s="6"/>
      <c r="K13" s="62"/>
      <c r="L13" s="20"/>
      <c r="M13" s="25"/>
      <c r="N13" s="20"/>
      <c r="O13" s="20"/>
      <c r="P13" s="22"/>
      <c r="Q13" s="22">
        <f t="shared" si="4"/>
        <v>0</v>
      </c>
      <c r="R13" s="23">
        <f>P13/3.495</f>
        <v>0</v>
      </c>
      <c r="S13" s="74">
        <f t="shared" si="1"/>
        <v>0</v>
      </c>
      <c r="T13" s="7"/>
      <c r="U13" s="62"/>
      <c r="V13" s="20"/>
      <c r="W13" s="21"/>
      <c r="X13" s="20"/>
      <c r="Y13" s="20"/>
      <c r="Z13" s="22"/>
      <c r="AA13" s="22">
        <f t="shared" si="5"/>
        <v>0</v>
      </c>
      <c r="AB13" s="23">
        <f>Z13/3.495</f>
        <v>0</v>
      </c>
      <c r="AC13" s="63">
        <f t="shared" si="2"/>
        <v>0</v>
      </c>
      <c r="AF13" s="62"/>
      <c r="AG13" s="27"/>
      <c r="AH13" s="19"/>
      <c r="AI13" s="19"/>
      <c r="AJ13" s="19"/>
      <c r="AK13" s="19"/>
      <c r="AL13" s="19"/>
      <c r="AM13" s="19"/>
      <c r="AN13" s="65"/>
    </row>
    <row r="14" spans="1:40" ht="18" x14ac:dyDescent="0.25">
      <c r="A14" s="64"/>
      <c r="B14" s="20"/>
      <c r="C14" s="21"/>
      <c r="D14" s="20"/>
      <c r="E14" s="20"/>
      <c r="F14" s="22"/>
      <c r="G14" s="22">
        <f t="shared" si="6"/>
        <v>0</v>
      </c>
      <c r="H14" s="23">
        <f>F14/3.742</f>
        <v>0</v>
      </c>
      <c r="I14" s="63">
        <f t="shared" si="3"/>
        <v>0</v>
      </c>
      <c r="J14" s="6"/>
      <c r="K14" s="62"/>
      <c r="L14" s="33"/>
      <c r="M14" s="21"/>
      <c r="N14" s="20"/>
      <c r="O14" s="20"/>
      <c r="P14" s="22"/>
      <c r="Q14" s="22">
        <f t="shared" si="4"/>
        <v>0</v>
      </c>
      <c r="R14" s="23">
        <f>P14/1.909</f>
        <v>0</v>
      </c>
      <c r="S14" s="74">
        <f t="shared" si="1"/>
        <v>0</v>
      </c>
      <c r="T14" s="7"/>
      <c r="U14" s="62"/>
      <c r="V14" s="33"/>
      <c r="W14" s="21"/>
      <c r="X14" s="20"/>
      <c r="Y14" s="20"/>
      <c r="Z14" s="22"/>
      <c r="AA14" s="22">
        <f t="shared" si="5"/>
        <v>0</v>
      </c>
      <c r="AB14" s="23">
        <f>Z14/2.394</f>
        <v>0</v>
      </c>
      <c r="AC14" s="63">
        <f t="shared" si="2"/>
        <v>0</v>
      </c>
      <c r="AF14" s="62"/>
      <c r="AG14" s="27"/>
      <c r="AH14" s="39"/>
      <c r="AI14" s="19"/>
      <c r="AJ14" s="19" t="s">
        <v>26</v>
      </c>
      <c r="AK14" s="19"/>
      <c r="AL14" s="93">
        <f>AL6/AH6</f>
        <v>4.1406734947237744</v>
      </c>
      <c r="AM14" s="20" t="s">
        <v>36</v>
      </c>
      <c r="AN14" s="65"/>
    </row>
    <row r="15" spans="1:40" ht="18.75" thickBot="1" x14ac:dyDescent="0.3">
      <c r="A15" s="62"/>
      <c r="B15" s="20"/>
      <c r="C15" s="21"/>
      <c r="D15" s="20"/>
      <c r="E15" s="20"/>
      <c r="F15" s="22"/>
      <c r="G15" s="22">
        <f t="shared" si="6"/>
        <v>0</v>
      </c>
      <c r="H15" s="23">
        <f>F15/3.826</f>
        <v>0</v>
      </c>
      <c r="I15" s="63">
        <f t="shared" si="3"/>
        <v>0</v>
      </c>
      <c r="J15" s="6"/>
      <c r="K15" s="62"/>
      <c r="L15" s="33"/>
      <c r="M15" s="21"/>
      <c r="N15" s="20"/>
      <c r="O15" s="20"/>
      <c r="P15" s="22"/>
      <c r="Q15" s="22">
        <f t="shared" si="4"/>
        <v>0</v>
      </c>
      <c r="R15" s="23">
        <f>P15/1.909</f>
        <v>0</v>
      </c>
      <c r="S15" s="74">
        <f t="shared" si="1"/>
        <v>0</v>
      </c>
      <c r="T15" s="7"/>
      <c r="U15" s="62"/>
      <c r="V15" s="20"/>
      <c r="W15" s="21"/>
      <c r="X15" s="20"/>
      <c r="Y15" s="20"/>
      <c r="Z15" s="22"/>
      <c r="AA15" s="22">
        <f t="shared" si="5"/>
        <v>0</v>
      </c>
      <c r="AB15" s="23"/>
      <c r="AC15" s="63"/>
      <c r="AF15" s="66"/>
      <c r="AG15" s="70"/>
      <c r="AH15" s="70"/>
      <c r="AI15" s="70"/>
      <c r="AJ15" s="70"/>
      <c r="AK15" s="70"/>
      <c r="AL15" s="70"/>
      <c r="AM15" s="70"/>
      <c r="AN15" s="100"/>
    </row>
    <row r="16" spans="1:40" ht="18" x14ac:dyDescent="0.25">
      <c r="A16" s="64">
        <f>B4-(B5+B16)</f>
        <v>2340</v>
      </c>
      <c r="B16" s="26">
        <f>SUM(B6:B15)</f>
        <v>36976</v>
      </c>
      <c r="C16" s="27"/>
      <c r="D16" s="27">
        <f>SUM(D5:D15)</f>
        <v>109</v>
      </c>
      <c r="E16" s="27"/>
      <c r="F16" s="28">
        <v>2.8</v>
      </c>
      <c r="G16" s="28">
        <f>SUM(G6:G15)</f>
        <v>101918</v>
      </c>
      <c r="H16" s="19"/>
      <c r="I16" s="65"/>
      <c r="J16" s="6"/>
      <c r="K16" s="64">
        <f>L4-(L5+L16)</f>
        <v>1384</v>
      </c>
      <c r="L16" s="26">
        <f>SUM(L6:L15)</f>
        <v>36976</v>
      </c>
      <c r="M16" s="27"/>
      <c r="N16" s="26">
        <f>SUM(N6:N11)</f>
        <v>109</v>
      </c>
      <c r="O16" s="27"/>
      <c r="P16" s="28">
        <f>Q16/L16</f>
        <v>2.6460136304630031</v>
      </c>
      <c r="Q16" s="28">
        <f>SUM(Q6:Q15)</f>
        <v>97839</v>
      </c>
      <c r="R16" s="34"/>
      <c r="S16" s="75"/>
      <c r="T16" s="7"/>
      <c r="U16" s="64">
        <f>V4-(V5+V16)</f>
        <v>-2880</v>
      </c>
      <c r="V16" s="26">
        <f>SUM(V6:V14)</f>
        <v>43968</v>
      </c>
      <c r="W16" s="27"/>
      <c r="X16" s="27">
        <f>SUM(X6:X13)</f>
        <v>196</v>
      </c>
      <c r="Y16" s="27"/>
      <c r="Z16" s="28">
        <f>AA16/V16</f>
        <v>2.7343522561863174</v>
      </c>
      <c r="AA16" s="28">
        <f>SUM(AA6:AA15)</f>
        <v>120224</v>
      </c>
      <c r="AB16" s="19"/>
      <c r="AC16" s="65"/>
      <c r="AF16" s="2"/>
      <c r="AG16" s="2"/>
      <c r="AH16" s="2"/>
      <c r="AI16" s="2"/>
      <c r="AJ16" s="2"/>
      <c r="AK16" s="2"/>
      <c r="AL16" s="2"/>
      <c r="AM16" s="2"/>
      <c r="AN16" s="2"/>
    </row>
    <row r="17" spans="1:29" ht="18.75" thickBot="1" x14ac:dyDescent="0.3">
      <c r="A17" s="66"/>
      <c r="B17" s="67"/>
      <c r="C17" s="67"/>
      <c r="D17" s="67"/>
      <c r="E17" s="67"/>
      <c r="F17" s="68"/>
      <c r="G17" s="69" t="s">
        <v>37</v>
      </c>
      <c r="H17" s="70" t="s">
        <v>38</v>
      </c>
      <c r="I17" s="71">
        <f>SUM(I6:I16)/(B4-B5)</f>
        <v>37.159426187811576</v>
      </c>
      <c r="J17" s="6"/>
      <c r="K17" s="66"/>
      <c r="L17" s="67"/>
      <c r="M17" s="67"/>
      <c r="N17" s="67"/>
      <c r="O17" s="67"/>
      <c r="P17" s="68"/>
      <c r="Q17" s="69" t="s">
        <v>37</v>
      </c>
      <c r="R17" s="70" t="s">
        <v>38</v>
      </c>
      <c r="S17" s="17">
        <f>SUM(S6:S16)/(L4-L5)</f>
        <v>38.085505735140771</v>
      </c>
      <c r="T17" s="7"/>
      <c r="U17" s="66"/>
      <c r="V17" s="67"/>
      <c r="W17" s="67"/>
      <c r="X17" s="67"/>
      <c r="Y17" s="67"/>
      <c r="Z17" s="68"/>
      <c r="AA17" s="69" t="s">
        <v>37</v>
      </c>
      <c r="AB17" s="70" t="s">
        <v>38</v>
      </c>
      <c r="AC17" s="71">
        <f>SUM(AC6:AC15)/(V4-V5)</f>
        <v>42.677180685358259</v>
      </c>
    </row>
    <row r="18" spans="1:29" ht="18.75" thickBot="1" x14ac:dyDescent="0.3">
      <c r="A18" s="2"/>
      <c r="B18" s="2"/>
      <c r="C18" s="2"/>
      <c r="D18" s="2"/>
      <c r="E18" s="2"/>
      <c r="F18" s="2"/>
      <c r="G18" s="2"/>
      <c r="H18" s="2"/>
      <c r="I18" s="2"/>
      <c r="J18" s="6"/>
      <c r="K18" s="2"/>
      <c r="L18" s="2"/>
      <c r="M18" s="2"/>
      <c r="N18" s="2"/>
      <c r="O18" s="2"/>
      <c r="P18" s="2"/>
      <c r="Q18" s="2"/>
      <c r="R18" s="2"/>
      <c r="S18" s="2"/>
      <c r="T18" s="7"/>
      <c r="U18" s="7"/>
      <c r="V18" s="7"/>
      <c r="W18" s="7"/>
      <c r="X18" s="7"/>
      <c r="Y18" s="7"/>
      <c r="Z18" s="7"/>
      <c r="AA18" s="7"/>
      <c r="AB18" s="7"/>
      <c r="AC18" s="7"/>
    </row>
    <row r="19" spans="1:29" ht="54" x14ac:dyDescent="0.25">
      <c r="A19" s="8" t="s">
        <v>39</v>
      </c>
      <c r="B19" s="9"/>
      <c r="C19" s="9" t="s">
        <v>5</v>
      </c>
      <c r="D19" s="9" t="s">
        <v>6</v>
      </c>
      <c r="E19" s="9" t="s">
        <v>7</v>
      </c>
      <c r="F19" s="10" t="s">
        <v>8</v>
      </c>
      <c r="G19" s="10" t="s">
        <v>9</v>
      </c>
      <c r="H19" s="9" t="s">
        <v>10</v>
      </c>
      <c r="I19" s="11" t="s">
        <v>11</v>
      </c>
      <c r="J19" s="13"/>
      <c r="K19" s="8" t="s">
        <v>40</v>
      </c>
      <c r="L19" s="9" t="s">
        <v>4</v>
      </c>
      <c r="M19" s="9" t="s">
        <v>5</v>
      </c>
      <c r="N19" s="9" t="s">
        <v>6</v>
      </c>
      <c r="O19" s="9" t="s">
        <v>7</v>
      </c>
      <c r="P19" s="10" t="s">
        <v>8</v>
      </c>
      <c r="Q19" s="10" t="s">
        <v>9</v>
      </c>
      <c r="R19" s="9" t="s">
        <v>10</v>
      </c>
      <c r="S19" s="11" t="s">
        <v>11</v>
      </c>
      <c r="T19" s="18"/>
      <c r="U19" s="8" t="s">
        <v>41</v>
      </c>
      <c r="V19" s="9" t="s">
        <v>4</v>
      </c>
      <c r="W19" s="9" t="s">
        <v>5</v>
      </c>
      <c r="X19" s="9" t="s">
        <v>6</v>
      </c>
      <c r="Y19" s="9" t="s">
        <v>7</v>
      </c>
      <c r="Z19" s="10" t="s">
        <v>8</v>
      </c>
      <c r="AA19" s="10" t="s">
        <v>9</v>
      </c>
      <c r="AB19" s="9" t="s">
        <v>10</v>
      </c>
      <c r="AC19" s="11" t="s">
        <v>11</v>
      </c>
    </row>
    <row r="20" spans="1:29" ht="18" x14ac:dyDescent="0.25">
      <c r="A20" s="77" t="s">
        <v>17</v>
      </c>
      <c r="B20" s="46">
        <v>40000</v>
      </c>
      <c r="C20" s="46"/>
      <c r="D20" s="46"/>
      <c r="E20" s="46"/>
      <c r="F20" s="47"/>
      <c r="G20" s="47"/>
      <c r="H20" s="46"/>
      <c r="I20" s="78"/>
      <c r="J20" s="2"/>
      <c r="K20" s="62" t="s">
        <v>17</v>
      </c>
      <c r="L20" s="27">
        <v>40400</v>
      </c>
      <c r="M20" s="27"/>
      <c r="N20" s="27"/>
      <c r="O20" s="27"/>
      <c r="P20" s="39"/>
      <c r="Q20" s="39"/>
      <c r="R20" s="27"/>
      <c r="S20" s="65"/>
      <c r="T20" s="6"/>
      <c r="U20" s="62" t="s">
        <v>17</v>
      </c>
      <c r="V20" s="27">
        <v>40300</v>
      </c>
      <c r="W20" s="27"/>
      <c r="X20" s="27"/>
      <c r="Y20" s="27"/>
      <c r="Z20" s="39"/>
      <c r="AA20" s="39"/>
      <c r="AB20" s="27"/>
      <c r="AC20" s="65"/>
    </row>
    <row r="21" spans="1:29" ht="18" x14ac:dyDescent="0.25">
      <c r="A21" s="77" t="s">
        <v>21</v>
      </c>
      <c r="B21" s="48">
        <v>1216</v>
      </c>
      <c r="C21" s="49">
        <f>B21/B20</f>
        <v>3.04E-2</v>
      </c>
      <c r="D21" s="46"/>
      <c r="E21" s="46"/>
      <c r="F21" s="50"/>
      <c r="G21" s="51"/>
      <c r="H21" s="45"/>
      <c r="I21" s="78"/>
      <c r="J21" s="2"/>
      <c r="K21" s="62" t="s">
        <v>21</v>
      </c>
      <c r="L21" s="42">
        <v>720</v>
      </c>
      <c r="M21" s="43">
        <f>L21/L20</f>
        <v>1.782178217821782E-2</v>
      </c>
      <c r="N21" s="44"/>
      <c r="O21" s="44"/>
      <c r="P21" s="23"/>
      <c r="Q21" s="22"/>
      <c r="R21" s="20"/>
      <c r="S21" s="63"/>
      <c r="T21" s="6"/>
      <c r="U21" s="62" t="s">
        <v>21</v>
      </c>
      <c r="V21" s="26">
        <v>1980</v>
      </c>
      <c r="W21" s="40">
        <f>V21/V20</f>
        <v>4.9131513647642677E-2</v>
      </c>
      <c r="X21" s="27"/>
      <c r="Y21" s="27"/>
      <c r="Z21" s="41"/>
      <c r="AA21" s="28"/>
      <c r="AB21" s="19"/>
      <c r="AC21" s="65"/>
    </row>
    <row r="22" spans="1:29" ht="18" x14ac:dyDescent="0.25">
      <c r="A22" s="77"/>
      <c r="B22" s="143">
        <v>7040</v>
      </c>
      <c r="C22" s="144">
        <v>46080</v>
      </c>
      <c r="D22" s="145">
        <v>31</v>
      </c>
      <c r="E22" s="144" t="s">
        <v>24</v>
      </c>
      <c r="F22" s="146">
        <v>1.96</v>
      </c>
      <c r="G22" s="147">
        <v>13832</v>
      </c>
      <c r="H22" s="148">
        <f>F22/1.901</f>
        <v>1.0310362966859548</v>
      </c>
      <c r="I22" s="149">
        <f t="shared" ref="I22:I25" si="7">B22*D22</f>
        <v>218240</v>
      </c>
      <c r="J22" s="2"/>
      <c r="K22" s="62"/>
      <c r="L22" s="142">
        <v>6336</v>
      </c>
      <c r="M22" s="117">
        <v>46083</v>
      </c>
      <c r="N22" s="118">
        <v>34</v>
      </c>
      <c r="O22" s="121" t="s">
        <v>24</v>
      </c>
      <c r="P22" s="140">
        <v>1.99</v>
      </c>
      <c r="Q22" s="119">
        <v>12612</v>
      </c>
      <c r="R22" s="120">
        <f>P22/2.196</f>
        <v>0.9061930783242258</v>
      </c>
      <c r="S22" s="121">
        <f>L22*N22</f>
        <v>215424</v>
      </c>
      <c r="T22" s="6"/>
      <c r="U22" s="62"/>
      <c r="V22" s="142">
        <v>6160</v>
      </c>
      <c r="W22" s="117">
        <v>46085</v>
      </c>
      <c r="X22" s="118">
        <v>35</v>
      </c>
      <c r="Y22" s="118" t="s">
        <v>24</v>
      </c>
      <c r="Z22" s="140">
        <v>2.21</v>
      </c>
      <c r="AA22" s="119">
        <v>13610</v>
      </c>
      <c r="AB22" s="120">
        <f>Z22/2.296</f>
        <v>0.96254355400696867</v>
      </c>
      <c r="AC22" s="121">
        <f t="shared" ref="AC22:AC25" si="8">V22*X22</f>
        <v>215600</v>
      </c>
    </row>
    <row r="23" spans="1:29" ht="18" x14ac:dyDescent="0.25">
      <c r="A23" s="77"/>
      <c r="B23" s="143">
        <v>5952</v>
      </c>
      <c r="C23" s="117">
        <v>46087</v>
      </c>
      <c r="D23" s="145">
        <v>38</v>
      </c>
      <c r="E23" s="145" t="s">
        <v>24</v>
      </c>
      <c r="F23" s="146">
        <v>2.39</v>
      </c>
      <c r="G23" s="147">
        <v>14221</v>
      </c>
      <c r="H23" s="148">
        <f>F23/2.597</f>
        <v>0.92029264536003086</v>
      </c>
      <c r="I23" s="149">
        <f t="shared" si="7"/>
        <v>226176</v>
      </c>
      <c r="J23" s="2"/>
      <c r="K23" s="62"/>
      <c r="L23" s="142">
        <v>6160</v>
      </c>
      <c r="M23" s="117">
        <v>46085</v>
      </c>
      <c r="N23" s="118">
        <v>36</v>
      </c>
      <c r="O23" s="121" t="s">
        <v>24</v>
      </c>
      <c r="P23" s="140">
        <v>2.1800000000000002</v>
      </c>
      <c r="Q23" s="119">
        <v>13452</v>
      </c>
      <c r="R23" s="120">
        <f>P23/2.396</f>
        <v>0.90984974958263787</v>
      </c>
      <c r="S23" s="121">
        <f>L23*N23</f>
        <v>221760</v>
      </c>
      <c r="T23" s="6"/>
      <c r="U23" s="62"/>
      <c r="V23" s="142">
        <v>5632</v>
      </c>
      <c r="W23" s="117">
        <v>46087</v>
      </c>
      <c r="X23" s="118">
        <v>37</v>
      </c>
      <c r="Y23" s="118" t="s">
        <v>24</v>
      </c>
      <c r="Z23" s="140">
        <v>2.38</v>
      </c>
      <c r="AA23" s="119">
        <v>13394</v>
      </c>
      <c r="AB23" s="120">
        <f>Z23/2.495</f>
        <v>0.95390781563126248</v>
      </c>
      <c r="AC23" s="121">
        <f t="shared" si="8"/>
        <v>208384</v>
      </c>
    </row>
    <row r="24" spans="1:29" ht="18" x14ac:dyDescent="0.25">
      <c r="A24" s="77"/>
      <c r="B24" s="145">
        <v>25792</v>
      </c>
      <c r="C24" s="144">
        <v>46093</v>
      </c>
      <c r="D24" s="145">
        <v>43</v>
      </c>
      <c r="E24" s="145" t="s">
        <v>24</v>
      </c>
      <c r="F24" s="147">
        <v>3.08</v>
      </c>
      <c r="G24" s="147">
        <v>79430</v>
      </c>
      <c r="H24" s="148">
        <f>F24/3.097</f>
        <v>0.99451081691959964</v>
      </c>
      <c r="I24" s="149">
        <f t="shared" si="7"/>
        <v>1109056</v>
      </c>
      <c r="J24" s="2"/>
      <c r="K24" s="62"/>
      <c r="L24" s="118">
        <v>9504</v>
      </c>
      <c r="M24" s="117">
        <v>46090</v>
      </c>
      <c r="N24" s="118">
        <v>41</v>
      </c>
      <c r="O24" s="121" t="s">
        <v>24</v>
      </c>
      <c r="P24" s="119">
        <v>2.71</v>
      </c>
      <c r="Q24" s="119">
        <v>25726</v>
      </c>
      <c r="R24" s="120">
        <f>P24/2.898</f>
        <v>0.93512767425810894</v>
      </c>
      <c r="S24" s="121">
        <f t="shared" ref="S24" si="9">L24*N24</f>
        <v>389664</v>
      </c>
      <c r="T24" s="6"/>
      <c r="U24" s="62"/>
      <c r="V24" s="118">
        <v>7392</v>
      </c>
      <c r="W24" s="117">
        <v>46090</v>
      </c>
      <c r="X24" s="118">
        <v>40</v>
      </c>
      <c r="Y24" s="118" t="s">
        <v>24</v>
      </c>
      <c r="Z24" s="119">
        <v>2.91</v>
      </c>
      <c r="AA24" s="119">
        <v>21544</v>
      </c>
      <c r="AB24" s="120">
        <f>Z24/2.798</f>
        <v>1.0400285918513223</v>
      </c>
      <c r="AC24" s="121">
        <f t="shared" si="8"/>
        <v>295680</v>
      </c>
    </row>
    <row r="25" spans="1:29" ht="18" x14ac:dyDescent="0.25">
      <c r="A25" s="77"/>
      <c r="B25" s="123"/>
      <c r="C25" s="122"/>
      <c r="D25" s="123"/>
      <c r="E25" s="123" t="s">
        <v>24</v>
      </c>
      <c r="F25" s="124">
        <v>0</v>
      </c>
      <c r="G25" s="124">
        <v>0</v>
      </c>
      <c r="H25" s="125">
        <f>F25/2.996</f>
        <v>0</v>
      </c>
      <c r="I25" s="126">
        <f t="shared" si="7"/>
        <v>0</v>
      </c>
      <c r="J25" s="2"/>
      <c r="K25" s="62"/>
      <c r="L25" s="118">
        <v>15392</v>
      </c>
      <c r="M25" s="117">
        <v>46092</v>
      </c>
      <c r="N25" s="118">
        <v>43</v>
      </c>
      <c r="O25" s="118" t="s">
        <v>24</v>
      </c>
      <c r="P25" s="119">
        <v>2.94</v>
      </c>
      <c r="Q25" s="119">
        <v>45266</v>
      </c>
      <c r="R25" s="120">
        <f>P25/3.097</f>
        <v>0.94930577978689057</v>
      </c>
      <c r="S25" s="121">
        <f t="shared" ref="S25" si="10">L25*N25</f>
        <v>661856</v>
      </c>
      <c r="T25" s="6"/>
      <c r="U25" s="62"/>
      <c r="V25" s="118">
        <v>19136</v>
      </c>
      <c r="W25" s="117">
        <v>46094</v>
      </c>
      <c r="X25" s="118">
        <v>44</v>
      </c>
      <c r="Y25" s="118" t="s">
        <v>24</v>
      </c>
      <c r="Z25" s="119">
        <v>3.17</v>
      </c>
      <c r="AA25" s="119">
        <v>60707</v>
      </c>
      <c r="AB25" s="120">
        <f>Z25/3.197</f>
        <v>0.99155458242101968</v>
      </c>
      <c r="AC25" s="121">
        <f t="shared" si="8"/>
        <v>841984</v>
      </c>
    </row>
    <row r="26" spans="1:29" ht="18" x14ac:dyDescent="0.25">
      <c r="A26" s="77"/>
      <c r="B26" s="123"/>
      <c r="C26" s="122"/>
      <c r="D26" s="123"/>
      <c r="E26" s="123" t="s">
        <v>24</v>
      </c>
      <c r="F26" s="124">
        <v>0</v>
      </c>
      <c r="G26" s="124">
        <v>0</v>
      </c>
      <c r="H26" s="125">
        <f>F26/3.47</f>
        <v>0</v>
      </c>
      <c r="I26" s="126">
        <f t="shared" ref="I26:I31" si="11">B26*D26</f>
        <v>0</v>
      </c>
      <c r="J26" s="2"/>
      <c r="K26" s="62"/>
      <c r="L26" s="150">
        <v>2288</v>
      </c>
      <c r="M26" s="151">
        <v>46093</v>
      </c>
      <c r="N26" s="150">
        <v>43</v>
      </c>
      <c r="O26" s="118" t="s">
        <v>24</v>
      </c>
      <c r="P26" s="119">
        <v>2.95</v>
      </c>
      <c r="Q26" s="119">
        <v>6750</v>
      </c>
      <c r="R26" s="120">
        <f>P26/3.097</f>
        <v>0.95253471101065557</v>
      </c>
      <c r="S26" s="121">
        <f t="shared" ref="S26:S31" si="12">L26*N26</f>
        <v>98384</v>
      </c>
      <c r="T26" s="6"/>
      <c r="U26" s="62"/>
      <c r="V26" s="29"/>
      <c r="W26" s="30"/>
      <c r="X26" s="29"/>
      <c r="Y26" s="29" t="s">
        <v>24</v>
      </c>
      <c r="Z26" s="111">
        <v>0</v>
      </c>
      <c r="AA26" s="31">
        <v>0</v>
      </c>
      <c r="AB26" s="32">
        <f>Z26/2.855</f>
        <v>0</v>
      </c>
      <c r="AC26" s="87">
        <f t="shared" ref="AC26:AC30" si="13">V26*X26</f>
        <v>0</v>
      </c>
    </row>
    <row r="27" spans="1:29" ht="18" x14ac:dyDescent="0.25">
      <c r="A27" s="77"/>
      <c r="B27" s="109"/>
      <c r="C27" s="110"/>
      <c r="D27" s="109"/>
      <c r="E27" s="109"/>
      <c r="F27" s="111"/>
      <c r="G27" s="111">
        <f t="shared" ref="G27:G31" si="14">B27*F27</f>
        <v>0</v>
      </c>
      <c r="H27" s="112">
        <f>F27/3.92</f>
        <v>0</v>
      </c>
      <c r="I27" s="113">
        <f t="shared" si="11"/>
        <v>0</v>
      </c>
      <c r="J27" s="2"/>
      <c r="K27" s="62"/>
      <c r="L27" s="20"/>
      <c r="M27" s="21"/>
      <c r="N27" s="20"/>
      <c r="O27" s="20"/>
      <c r="P27" s="22"/>
      <c r="Q27" s="22">
        <f t="shared" ref="Q27:Q31" si="15">L27*P27</f>
        <v>0</v>
      </c>
      <c r="R27" s="23">
        <f>P27/3.743</f>
        <v>0</v>
      </c>
      <c r="S27" s="63">
        <f t="shared" si="12"/>
        <v>0</v>
      </c>
      <c r="T27" s="6"/>
      <c r="U27" s="62"/>
      <c r="V27" s="29"/>
      <c r="W27" s="30"/>
      <c r="X27" s="29"/>
      <c r="Y27" s="29" t="s">
        <v>24</v>
      </c>
      <c r="Z27" s="31">
        <v>0</v>
      </c>
      <c r="AA27" s="31">
        <v>0</v>
      </c>
      <c r="AB27" s="32">
        <f>Z27/3.617</f>
        <v>0</v>
      </c>
      <c r="AC27" s="87">
        <f t="shared" si="13"/>
        <v>0</v>
      </c>
    </row>
    <row r="28" spans="1:29" ht="18" x14ac:dyDescent="0.25">
      <c r="A28" s="77"/>
      <c r="B28" s="52"/>
      <c r="C28" s="53"/>
      <c r="D28" s="52"/>
      <c r="E28" s="52"/>
      <c r="F28" s="54"/>
      <c r="G28" s="54">
        <f t="shared" si="14"/>
        <v>0</v>
      </c>
      <c r="H28" s="55">
        <f t="shared" ref="H28" si="16">F28/2.622</f>
        <v>0</v>
      </c>
      <c r="I28" s="79">
        <f t="shared" si="11"/>
        <v>0</v>
      </c>
      <c r="J28" s="2"/>
      <c r="K28" s="62"/>
      <c r="L28" s="35"/>
      <c r="M28" s="37"/>
      <c r="N28" s="20"/>
      <c r="O28" s="20"/>
      <c r="P28" s="22"/>
      <c r="Q28" s="22">
        <f t="shared" si="15"/>
        <v>0</v>
      </c>
      <c r="R28" s="23">
        <f>P28/4.064</f>
        <v>0</v>
      </c>
      <c r="S28" s="63">
        <f t="shared" si="12"/>
        <v>0</v>
      </c>
      <c r="T28" s="6"/>
      <c r="U28" s="62"/>
      <c r="V28" s="20"/>
      <c r="W28" s="21"/>
      <c r="X28" s="20"/>
      <c r="Y28" s="20"/>
      <c r="Z28" s="22"/>
      <c r="AA28" s="22">
        <f t="shared" ref="AA28:AA30" si="17">V28*Z28</f>
        <v>0</v>
      </c>
      <c r="AB28" s="23">
        <f>Z28/3.933</f>
        <v>0</v>
      </c>
      <c r="AC28" s="63">
        <f t="shared" si="13"/>
        <v>0</v>
      </c>
    </row>
    <row r="29" spans="1:29" ht="18" x14ac:dyDescent="0.25">
      <c r="A29" s="77"/>
      <c r="B29" s="52"/>
      <c r="C29" s="53"/>
      <c r="D29" s="52"/>
      <c r="E29" s="52"/>
      <c r="F29" s="54"/>
      <c r="G29" s="54">
        <f t="shared" si="14"/>
        <v>0</v>
      </c>
      <c r="H29" s="55">
        <f>F29/3.669</f>
        <v>0</v>
      </c>
      <c r="I29" s="79">
        <f t="shared" si="11"/>
        <v>0</v>
      </c>
      <c r="J29" s="2"/>
      <c r="K29" s="62"/>
      <c r="L29" s="20"/>
      <c r="M29" s="38"/>
      <c r="N29" s="20"/>
      <c r="O29" s="20"/>
      <c r="P29" s="22"/>
      <c r="Q29" s="22">
        <f t="shared" si="15"/>
        <v>0</v>
      </c>
      <c r="R29" s="23">
        <f>P29/3.318</f>
        <v>0</v>
      </c>
      <c r="S29" s="63">
        <f t="shared" si="12"/>
        <v>0</v>
      </c>
      <c r="T29" s="6"/>
      <c r="U29" s="62"/>
      <c r="V29" s="20"/>
      <c r="W29" s="25" t="s">
        <v>42</v>
      </c>
      <c r="X29" s="20"/>
      <c r="Y29" s="20"/>
      <c r="Z29" s="22"/>
      <c r="AA29" s="22">
        <f t="shared" si="17"/>
        <v>0</v>
      </c>
      <c r="AB29" s="23">
        <f>Z29/2.3</f>
        <v>0</v>
      </c>
      <c r="AC29" s="63">
        <f t="shared" si="13"/>
        <v>0</v>
      </c>
    </row>
    <row r="30" spans="1:29" ht="18" x14ac:dyDescent="0.25">
      <c r="A30" s="77"/>
      <c r="B30" s="52"/>
      <c r="C30" s="53"/>
      <c r="D30" s="52"/>
      <c r="E30" s="52"/>
      <c r="F30" s="54"/>
      <c r="G30" s="54">
        <f t="shared" si="14"/>
        <v>0</v>
      </c>
      <c r="H30" s="55">
        <f>F30/3.495</f>
        <v>0</v>
      </c>
      <c r="I30" s="79">
        <f t="shared" si="11"/>
        <v>0</v>
      </c>
      <c r="J30" s="2"/>
      <c r="K30" s="62"/>
      <c r="L30" s="20"/>
      <c r="M30" s="21"/>
      <c r="N30" s="20"/>
      <c r="O30" s="20"/>
      <c r="P30" s="22"/>
      <c r="Q30" s="22">
        <f t="shared" si="15"/>
        <v>0</v>
      </c>
      <c r="R30" s="23">
        <f>P30/2.3</f>
        <v>0</v>
      </c>
      <c r="S30" s="63">
        <f t="shared" si="12"/>
        <v>0</v>
      </c>
      <c r="T30" s="6"/>
      <c r="U30" s="62"/>
      <c r="V30" s="20"/>
      <c r="W30" s="21"/>
      <c r="X30" s="20"/>
      <c r="Y30" s="20"/>
      <c r="Z30" s="22"/>
      <c r="AA30" s="22">
        <f t="shared" si="17"/>
        <v>0</v>
      </c>
      <c r="AB30" s="23">
        <f>Z30/3.318</f>
        <v>0</v>
      </c>
      <c r="AC30" s="63">
        <f t="shared" si="13"/>
        <v>0</v>
      </c>
    </row>
    <row r="31" spans="1:29" ht="18" x14ac:dyDescent="0.25">
      <c r="A31" s="77"/>
      <c r="B31" s="52"/>
      <c r="C31" s="53"/>
      <c r="D31" s="52"/>
      <c r="E31" s="52"/>
      <c r="F31" s="54"/>
      <c r="G31" s="54">
        <f t="shared" si="14"/>
        <v>0</v>
      </c>
      <c r="H31" s="55">
        <f>F31/3.743</f>
        <v>0</v>
      </c>
      <c r="I31" s="79">
        <f t="shared" si="11"/>
        <v>0</v>
      </c>
      <c r="J31" s="2"/>
      <c r="K31" s="62"/>
      <c r="L31" s="20"/>
      <c r="M31" s="21"/>
      <c r="N31" s="20"/>
      <c r="O31" s="20"/>
      <c r="P31" s="22"/>
      <c r="Q31" s="22">
        <f t="shared" si="15"/>
        <v>0</v>
      </c>
      <c r="R31" s="23">
        <f>P31/3.743</f>
        <v>0</v>
      </c>
      <c r="S31" s="63">
        <f t="shared" si="12"/>
        <v>0</v>
      </c>
      <c r="T31" s="6"/>
      <c r="U31" s="62"/>
      <c r="V31" s="19"/>
      <c r="W31" s="36"/>
      <c r="X31" s="19"/>
      <c r="Y31" s="20"/>
      <c r="Z31" s="28"/>
      <c r="AA31" s="28"/>
      <c r="AB31" s="34"/>
      <c r="AC31" s="65"/>
    </row>
    <row r="32" spans="1:29" ht="18" x14ac:dyDescent="0.25">
      <c r="A32" s="80">
        <f>B20-(B21+B32)</f>
        <v>0</v>
      </c>
      <c r="B32" s="48">
        <f>SUM(B22:B30)</f>
        <v>38784</v>
      </c>
      <c r="C32" s="46"/>
      <c r="D32" s="46">
        <f>SUM(D21:D28)</f>
        <v>112</v>
      </c>
      <c r="E32" s="46"/>
      <c r="F32" s="51">
        <f>G32/B32</f>
        <v>2.7713232260726071</v>
      </c>
      <c r="G32" s="51">
        <f>SUM(G22:G31)</f>
        <v>107483</v>
      </c>
      <c r="H32" s="45"/>
      <c r="I32" s="78"/>
      <c r="J32" s="2"/>
      <c r="K32" s="64">
        <f>L20-(L21+L32)</f>
        <v>0</v>
      </c>
      <c r="L32" s="26">
        <f>SUM(L22:L29)</f>
        <v>39680</v>
      </c>
      <c r="M32" s="27"/>
      <c r="N32" s="27">
        <f>SUM(N21:N30)</f>
        <v>197</v>
      </c>
      <c r="O32" s="27"/>
      <c r="P32" s="28">
        <f>Q32/L32</f>
        <v>2.6160786290322582</v>
      </c>
      <c r="Q32" s="28">
        <f>SUM(Q22:Q31)</f>
        <v>103806</v>
      </c>
      <c r="R32" s="19"/>
      <c r="S32" s="65"/>
      <c r="T32" s="6"/>
      <c r="U32" s="64">
        <f>V20-(V21+V32)</f>
        <v>0</v>
      </c>
      <c r="V32" s="26">
        <f>SUM(V22:V31)</f>
        <v>38320</v>
      </c>
      <c r="W32" s="27"/>
      <c r="X32" s="27">
        <f>SUM(X22:X29)</f>
        <v>156</v>
      </c>
      <c r="Y32" s="27"/>
      <c r="Z32" s="28">
        <v>2.86</v>
      </c>
      <c r="AA32" s="28">
        <f>SUM(AA22:AA31)</f>
        <v>109255</v>
      </c>
      <c r="AB32" s="19"/>
      <c r="AC32" s="65"/>
    </row>
    <row r="33" spans="1:29" ht="18.75" thickBot="1" x14ac:dyDescent="0.3">
      <c r="A33" s="81"/>
      <c r="B33" s="82"/>
      <c r="C33" s="82"/>
      <c r="D33" s="82"/>
      <c r="E33" s="82"/>
      <c r="F33" s="83"/>
      <c r="G33" s="84" t="s">
        <v>37</v>
      </c>
      <c r="H33" s="85" t="s">
        <v>38</v>
      </c>
      <c r="I33" s="86">
        <f>SUM(I22:I31)/(B20-B21)</f>
        <v>40.054455445544555</v>
      </c>
      <c r="J33" s="2"/>
      <c r="K33" s="66"/>
      <c r="L33" s="67"/>
      <c r="M33" s="67"/>
      <c r="N33" s="67"/>
      <c r="O33" s="67"/>
      <c r="P33" s="68"/>
      <c r="Q33" s="69" t="s">
        <v>37</v>
      </c>
      <c r="R33" s="70" t="s">
        <v>38</v>
      </c>
      <c r="S33" s="71">
        <f>SUM(S22:S31)/(L20-L21)</f>
        <v>39.997177419354841</v>
      </c>
      <c r="T33" s="6"/>
      <c r="U33" s="66"/>
      <c r="V33" s="67"/>
      <c r="W33" s="67"/>
      <c r="X33" s="67"/>
      <c r="Y33" s="67"/>
      <c r="Z33" s="68"/>
      <c r="AA33" s="69" t="s">
        <v>37</v>
      </c>
      <c r="AB33" s="70" t="s">
        <v>38</v>
      </c>
      <c r="AC33" s="71">
        <f>SUM(AC22:AC31)/(V20-V21)</f>
        <v>40.752818371607518</v>
      </c>
    </row>
    <row r="34" spans="1:29" ht="18.75" thickBot="1" x14ac:dyDescent="0.3">
      <c r="A34" s="2"/>
      <c r="B34" s="2"/>
      <c r="C34" s="2"/>
      <c r="D34" s="2"/>
      <c r="E34" s="2"/>
      <c r="F34" s="2"/>
      <c r="G34" s="2"/>
      <c r="H34" s="2"/>
      <c r="I34" s="2"/>
      <c r="J34" s="6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:29" ht="54" x14ac:dyDescent="0.25">
      <c r="A35" s="8" t="s">
        <v>43</v>
      </c>
      <c r="B35" s="9" t="s">
        <v>4</v>
      </c>
      <c r="C35" s="9" t="s">
        <v>5</v>
      </c>
      <c r="D35" s="9" t="s">
        <v>6</v>
      </c>
      <c r="E35" s="9" t="s">
        <v>7</v>
      </c>
      <c r="F35" s="10" t="s">
        <v>8</v>
      </c>
      <c r="G35" s="10" t="s">
        <v>9</v>
      </c>
      <c r="H35" s="9" t="s">
        <v>10</v>
      </c>
      <c r="I35" s="11" t="s">
        <v>11</v>
      </c>
      <c r="J35" s="13"/>
      <c r="K35" s="8" t="s">
        <v>44</v>
      </c>
      <c r="L35" s="9" t="s">
        <v>4</v>
      </c>
      <c r="M35" s="9" t="s">
        <v>5</v>
      </c>
      <c r="N35" s="9" t="s">
        <v>6</v>
      </c>
      <c r="O35" s="9" t="s">
        <v>7</v>
      </c>
      <c r="P35" s="10" t="s">
        <v>8</v>
      </c>
      <c r="Q35" s="10" t="s">
        <v>9</v>
      </c>
      <c r="R35" s="9" t="s">
        <v>10</v>
      </c>
      <c r="S35" s="11" t="s">
        <v>11</v>
      </c>
      <c r="T35" s="2"/>
      <c r="U35" s="8" t="s">
        <v>45</v>
      </c>
      <c r="V35" s="9" t="s">
        <v>4</v>
      </c>
      <c r="W35" s="9" t="s">
        <v>5</v>
      </c>
      <c r="X35" s="9" t="s">
        <v>6</v>
      </c>
      <c r="Y35" s="9" t="s">
        <v>7</v>
      </c>
      <c r="Z35" s="10" t="s">
        <v>8</v>
      </c>
      <c r="AA35" s="10" t="s">
        <v>9</v>
      </c>
      <c r="AB35" s="9" t="s">
        <v>10</v>
      </c>
      <c r="AC35" s="11" t="s">
        <v>11</v>
      </c>
    </row>
    <row r="36" spans="1:29" ht="18" x14ac:dyDescent="0.25">
      <c r="A36" s="62" t="s">
        <v>17</v>
      </c>
      <c r="B36" s="27">
        <v>48400</v>
      </c>
      <c r="C36" s="27"/>
      <c r="D36" s="27"/>
      <c r="E36" s="27"/>
      <c r="F36" s="39"/>
      <c r="G36" s="39"/>
      <c r="H36" s="27"/>
      <c r="I36" s="65"/>
      <c r="J36" s="7"/>
      <c r="K36" s="62" t="s">
        <v>17</v>
      </c>
      <c r="L36" s="27">
        <v>47786</v>
      </c>
      <c r="M36" s="27"/>
      <c r="N36" s="27"/>
      <c r="O36" s="27"/>
      <c r="P36" s="39"/>
      <c r="Q36" s="39"/>
      <c r="R36" s="27"/>
      <c r="S36" s="65"/>
      <c r="T36" s="2"/>
      <c r="U36" s="62" t="s">
        <v>17</v>
      </c>
      <c r="V36" s="27">
        <v>48100</v>
      </c>
      <c r="W36" s="27"/>
      <c r="X36" s="27"/>
      <c r="Y36" s="27"/>
      <c r="Z36" s="39"/>
      <c r="AA36" s="39"/>
      <c r="AB36" s="27"/>
      <c r="AC36" s="65"/>
    </row>
    <row r="37" spans="1:29" ht="18" x14ac:dyDescent="0.25">
      <c r="A37" s="62" t="s">
        <v>21</v>
      </c>
      <c r="B37" s="42">
        <v>1904</v>
      </c>
      <c r="C37" s="43">
        <f>B37/B36</f>
        <v>3.9338842975206609E-2</v>
      </c>
      <c r="D37" s="44"/>
      <c r="E37" s="44"/>
      <c r="F37" s="23"/>
      <c r="G37" s="22"/>
      <c r="H37" s="20"/>
      <c r="I37" s="63"/>
      <c r="J37" s="7"/>
      <c r="K37" s="62" t="s">
        <v>21</v>
      </c>
      <c r="L37" s="26">
        <v>1638</v>
      </c>
      <c r="M37" s="40">
        <f>L37/L36</f>
        <v>3.4277821956221491E-2</v>
      </c>
      <c r="N37" s="27"/>
      <c r="O37" s="27"/>
      <c r="P37" s="41"/>
      <c r="Q37" s="28"/>
      <c r="R37" s="19"/>
      <c r="S37" s="65"/>
      <c r="T37" s="2"/>
      <c r="U37" s="62" t="s">
        <v>21</v>
      </c>
      <c r="V37" s="26">
        <v>1980</v>
      </c>
      <c r="W37" s="40">
        <f>V37/V36</f>
        <v>4.1164241164241167E-2</v>
      </c>
      <c r="X37" s="27"/>
      <c r="Y37" s="27"/>
      <c r="Z37" s="41"/>
      <c r="AA37" s="28"/>
      <c r="AB37" s="19"/>
      <c r="AC37" s="65"/>
    </row>
    <row r="38" spans="1:29" ht="18" x14ac:dyDescent="0.25">
      <c r="A38" s="62"/>
      <c r="B38" s="142">
        <v>6336</v>
      </c>
      <c r="C38" s="117">
        <v>46083</v>
      </c>
      <c r="D38" s="118">
        <v>33</v>
      </c>
      <c r="E38" s="117" t="s">
        <v>24</v>
      </c>
      <c r="F38" s="140">
        <v>2.06</v>
      </c>
      <c r="G38" s="119">
        <v>13051</v>
      </c>
      <c r="H38" s="120">
        <f>F38/2.097</f>
        <v>0.98235574630424416</v>
      </c>
      <c r="I38" s="121">
        <f>B38*D38</f>
        <v>209088</v>
      </c>
      <c r="J38" s="7"/>
      <c r="K38" s="62"/>
      <c r="L38" s="142">
        <v>6688</v>
      </c>
      <c r="M38" s="117">
        <v>46083</v>
      </c>
      <c r="N38" s="118">
        <v>33</v>
      </c>
      <c r="O38" s="117" t="s">
        <v>24</v>
      </c>
      <c r="P38" s="140">
        <v>1.83</v>
      </c>
      <c r="Q38" s="119">
        <v>12210</v>
      </c>
      <c r="R38" s="120">
        <f>P38/2.097</f>
        <v>0.87267525035765381</v>
      </c>
      <c r="S38" s="121">
        <f>L38*N38</f>
        <v>220704</v>
      </c>
      <c r="T38" s="2"/>
      <c r="U38" s="62"/>
      <c r="V38" s="142">
        <v>6336</v>
      </c>
      <c r="W38" s="117">
        <v>46086</v>
      </c>
      <c r="X38" s="118">
        <v>33</v>
      </c>
      <c r="Y38" s="117" t="s">
        <v>24</v>
      </c>
      <c r="Z38" s="140">
        <v>2.04</v>
      </c>
      <c r="AA38" s="119">
        <v>12911</v>
      </c>
      <c r="AB38" s="120">
        <f>Z38/2.097</f>
        <v>0.97281831187410595</v>
      </c>
      <c r="AC38" s="121">
        <f>V38*X38</f>
        <v>209088</v>
      </c>
    </row>
    <row r="39" spans="1:29" ht="18" x14ac:dyDescent="0.25">
      <c r="A39" s="62"/>
      <c r="B39" s="142">
        <v>5984</v>
      </c>
      <c r="C39" s="117">
        <v>46086</v>
      </c>
      <c r="D39" s="118">
        <v>35</v>
      </c>
      <c r="E39" s="117" t="s">
        <v>24</v>
      </c>
      <c r="F39" s="140">
        <v>2.3199999999999998</v>
      </c>
      <c r="G39" s="119">
        <v>13912</v>
      </c>
      <c r="H39" s="120">
        <f>F39/2.296</f>
        <v>1.0104529616724738</v>
      </c>
      <c r="I39" s="121">
        <f>B39*D39</f>
        <v>209440</v>
      </c>
      <c r="J39" s="7"/>
      <c r="K39" s="62"/>
      <c r="L39" s="142">
        <v>6336</v>
      </c>
      <c r="M39" s="117">
        <v>46086</v>
      </c>
      <c r="N39" s="118">
        <v>35</v>
      </c>
      <c r="O39" s="117" t="s">
        <v>24</v>
      </c>
      <c r="P39" s="140">
        <v>2.13</v>
      </c>
      <c r="Q39" s="119">
        <v>13472</v>
      </c>
      <c r="R39" s="120">
        <f>P39/2.296</f>
        <v>0.92770034843205573</v>
      </c>
      <c r="S39" s="121">
        <f>L39*N39</f>
        <v>221760</v>
      </c>
      <c r="T39" s="2"/>
      <c r="U39" s="62"/>
      <c r="V39" s="118">
        <v>5808</v>
      </c>
      <c r="W39" s="117">
        <v>46088</v>
      </c>
      <c r="X39" s="118">
        <v>35</v>
      </c>
      <c r="Y39" s="117" t="s">
        <v>24</v>
      </c>
      <c r="Z39" s="119">
        <v>2.33</v>
      </c>
      <c r="AA39" s="119">
        <v>13550</v>
      </c>
      <c r="AB39" s="120">
        <f>Z39/2.296</f>
        <v>1.014808362369338</v>
      </c>
      <c r="AC39" s="121">
        <f>V39*X39</f>
        <v>203280</v>
      </c>
    </row>
    <row r="40" spans="1:29" ht="18" x14ac:dyDescent="0.25">
      <c r="A40" s="62"/>
      <c r="B40" s="118">
        <v>9504</v>
      </c>
      <c r="C40" s="117">
        <v>46090</v>
      </c>
      <c r="D40" s="118">
        <v>40</v>
      </c>
      <c r="E40" s="118" t="s">
        <v>24</v>
      </c>
      <c r="F40" s="119">
        <v>2.7</v>
      </c>
      <c r="G40" s="119">
        <v>25664</v>
      </c>
      <c r="H40" s="120">
        <f>F40/2.798</f>
        <v>0.96497498213009292</v>
      </c>
      <c r="I40" s="121">
        <f t="shared" ref="I40" si="18">B40*D40</f>
        <v>380160</v>
      </c>
      <c r="J40" s="7"/>
      <c r="K40" s="62"/>
      <c r="L40" s="118">
        <v>7392</v>
      </c>
      <c r="M40" s="117">
        <v>46090</v>
      </c>
      <c r="N40" s="118">
        <v>40</v>
      </c>
      <c r="O40" s="118" t="s">
        <v>24</v>
      </c>
      <c r="P40" s="119">
        <v>2.7</v>
      </c>
      <c r="Q40" s="119">
        <v>20266</v>
      </c>
      <c r="R40" s="120">
        <f>P40/2.798</f>
        <v>0.96497498213009292</v>
      </c>
      <c r="S40" s="121">
        <f>L40*N40</f>
        <v>295680</v>
      </c>
      <c r="T40" s="2"/>
      <c r="U40" s="62"/>
      <c r="V40" s="118">
        <v>4576</v>
      </c>
      <c r="W40" s="117">
        <v>46092</v>
      </c>
      <c r="X40" s="118">
        <v>40</v>
      </c>
      <c r="Y40" s="118" t="s">
        <v>24</v>
      </c>
      <c r="Z40" s="119">
        <v>2.97</v>
      </c>
      <c r="AA40" s="119">
        <v>13593</v>
      </c>
      <c r="AB40" s="120">
        <f>Z40/2.798</f>
        <v>1.0614724803431024</v>
      </c>
      <c r="AC40" s="121">
        <f>V40*X40</f>
        <v>183040</v>
      </c>
    </row>
    <row r="41" spans="1:29" ht="18" x14ac:dyDescent="0.25">
      <c r="A41" s="62"/>
      <c r="B41" s="118">
        <v>8448</v>
      </c>
      <c r="C41" s="117">
        <v>46093</v>
      </c>
      <c r="D41" s="118">
        <v>43</v>
      </c>
      <c r="E41" s="118" t="s">
        <v>24</v>
      </c>
      <c r="F41" s="119">
        <v>3.22</v>
      </c>
      <c r="G41" s="119">
        <v>27220</v>
      </c>
      <c r="H41" s="120">
        <f>F41/3.097</f>
        <v>1.0397158540523088</v>
      </c>
      <c r="I41" s="121">
        <f t="shared" ref="I41:I42" si="19">B41*D41</f>
        <v>363264</v>
      </c>
      <c r="J41" s="7"/>
      <c r="K41" s="62"/>
      <c r="L41" s="128">
        <v>24996</v>
      </c>
      <c r="M41" s="127">
        <v>46094</v>
      </c>
      <c r="N41" s="128">
        <v>44</v>
      </c>
      <c r="O41" s="128" t="s">
        <v>24</v>
      </c>
      <c r="P41" s="129">
        <v>3.1</v>
      </c>
      <c r="Q41" s="129">
        <v>77487</v>
      </c>
      <c r="R41" s="130">
        <f>P41/3.198</f>
        <v>0.96935584740462788</v>
      </c>
      <c r="S41" s="131">
        <f t="shared" ref="S41" si="20">L41*N41</f>
        <v>1099824</v>
      </c>
      <c r="T41" s="2"/>
      <c r="U41" s="62"/>
      <c r="V41" s="118">
        <v>29400</v>
      </c>
      <c r="W41" s="117">
        <v>46094</v>
      </c>
      <c r="X41" s="118">
        <v>42</v>
      </c>
      <c r="Y41" s="118" t="s">
        <v>24</v>
      </c>
      <c r="Z41" s="119">
        <v>3.16</v>
      </c>
      <c r="AA41" s="119">
        <v>92765</v>
      </c>
      <c r="AB41" s="120">
        <f>Z41/2.989</f>
        <v>1.0572097691535631</v>
      </c>
      <c r="AC41" s="121">
        <f t="shared" ref="AC41" si="21">V41*X41</f>
        <v>1234800</v>
      </c>
    </row>
    <row r="42" spans="1:29" ht="18" x14ac:dyDescent="0.25">
      <c r="A42" s="62"/>
      <c r="B42" s="118">
        <v>11856</v>
      </c>
      <c r="C42" s="117">
        <v>46093</v>
      </c>
      <c r="D42" s="118">
        <v>42</v>
      </c>
      <c r="E42" s="118" t="s">
        <v>24</v>
      </c>
      <c r="F42" s="119">
        <v>3.05</v>
      </c>
      <c r="G42" s="119">
        <v>36146</v>
      </c>
      <c r="H42" s="120">
        <f>F42/2.996</f>
        <v>1.0180240320427236</v>
      </c>
      <c r="I42" s="121">
        <f t="shared" si="19"/>
        <v>497952</v>
      </c>
      <c r="J42" s="7"/>
      <c r="K42" s="62"/>
      <c r="L42" s="132">
        <v>736</v>
      </c>
      <c r="M42" s="127">
        <v>46097</v>
      </c>
      <c r="N42" s="128">
        <v>46</v>
      </c>
      <c r="O42" s="128" t="s">
        <v>24</v>
      </c>
      <c r="P42" s="133">
        <v>3.69</v>
      </c>
      <c r="Q42" s="129">
        <v>2707</v>
      </c>
      <c r="R42" s="130">
        <f>P42/3.393</f>
        <v>1.0875331564986739</v>
      </c>
      <c r="S42" s="131">
        <f t="shared" ref="S42:S46" si="22">L42*N42</f>
        <v>33856</v>
      </c>
      <c r="T42" s="2"/>
      <c r="U42" s="62"/>
      <c r="V42" s="132"/>
      <c r="W42" s="127"/>
      <c r="X42" s="128"/>
      <c r="Y42" s="128" t="s">
        <v>24</v>
      </c>
      <c r="Z42" s="133">
        <v>0</v>
      </c>
      <c r="AA42" s="129">
        <v>0</v>
      </c>
      <c r="AB42" s="130">
        <f>Z42/3.295</f>
        <v>0</v>
      </c>
      <c r="AC42" s="131">
        <f t="shared" ref="AC42" si="23">V42*X42</f>
        <v>0</v>
      </c>
    </row>
    <row r="43" spans="1:29" ht="18" x14ac:dyDescent="0.25">
      <c r="A43" s="106"/>
      <c r="B43" s="128">
        <v>4368</v>
      </c>
      <c r="C43" s="127">
        <v>46097</v>
      </c>
      <c r="D43" s="128">
        <v>47</v>
      </c>
      <c r="E43" s="128" t="s">
        <v>24</v>
      </c>
      <c r="F43" s="129">
        <v>3.7</v>
      </c>
      <c r="G43" s="129">
        <v>16154</v>
      </c>
      <c r="H43" s="130">
        <f>F43/3.49</f>
        <v>1.0601719197707735</v>
      </c>
      <c r="I43" s="131">
        <f t="shared" ref="I43:I46" si="24">B43*D43</f>
        <v>205296</v>
      </c>
      <c r="J43" s="7"/>
      <c r="K43" s="62"/>
      <c r="L43" s="29"/>
      <c r="M43" s="30"/>
      <c r="N43" s="29"/>
      <c r="O43" s="29"/>
      <c r="P43" s="31"/>
      <c r="Q43" s="31">
        <v>0</v>
      </c>
      <c r="R43" s="32">
        <f>P43/3.669</f>
        <v>0</v>
      </c>
      <c r="S43" s="87">
        <f>L43*N43</f>
        <v>0</v>
      </c>
      <c r="T43" s="2"/>
      <c r="U43" s="62"/>
      <c r="V43" s="29"/>
      <c r="W43" s="30"/>
      <c r="X43" s="29"/>
      <c r="Y43" s="29"/>
      <c r="Z43" s="31"/>
      <c r="AA43" s="31">
        <f t="shared" ref="AA43" si="25">V43*Z43</f>
        <v>0</v>
      </c>
      <c r="AB43" s="32">
        <f>Z43/3.669</f>
        <v>0</v>
      </c>
      <c r="AC43" s="87">
        <f>V43*X43</f>
        <v>0</v>
      </c>
    </row>
    <row r="44" spans="1:29" ht="18" x14ac:dyDescent="0.25">
      <c r="A44" s="62"/>
      <c r="B44" s="20"/>
      <c r="C44" s="21"/>
      <c r="D44" s="20"/>
      <c r="E44" s="20"/>
      <c r="F44" s="22"/>
      <c r="G44" s="22">
        <f>B44*F44</f>
        <v>0</v>
      </c>
      <c r="H44" s="23">
        <f>F44/3.986</f>
        <v>0</v>
      </c>
      <c r="I44" s="63">
        <f>B44*D44</f>
        <v>0</v>
      </c>
      <c r="J44" s="7"/>
      <c r="K44" s="62"/>
      <c r="L44" s="20"/>
      <c r="M44" s="25"/>
      <c r="N44" s="20"/>
      <c r="O44" s="20"/>
      <c r="P44" s="22"/>
      <c r="Q44" s="22">
        <f>L44*P44</f>
        <v>0</v>
      </c>
      <c r="R44" s="23">
        <f>P44/3.659</f>
        <v>0</v>
      </c>
      <c r="S44" s="63">
        <f>L44*N44</f>
        <v>0</v>
      </c>
      <c r="T44" s="2"/>
      <c r="U44" s="62"/>
      <c r="V44" s="29"/>
      <c r="W44" s="108"/>
      <c r="X44" s="29"/>
      <c r="Y44" s="29"/>
      <c r="Z44" s="31"/>
      <c r="AA44" s="31">
        <f>V44*Z44</f>
        <v>0</v>
      </c>
      <c r="AB44" s="32">
        <f>Z44/3.659</f>
        <v>0</v>
      </c>
      <c r="AC44" s="87">
        <f>V44*X44</f>
        <v>0</v>
      </c>
    </row>
    <row r="45" spans="1:29" ht="18" x14ac:dyDescent="0.25">
      <c r="A45" s="62"/>
      <c r="B45" s="20"/>
      <c r="C45" s="21"/>
      <c r="D45" s="20"/>
      <c r="E45" s="20"/>
      <c r="F45" s="31"/>
      <c r="G45" s="22">
        <f>B45*F45</f>
        <v>0</v>
      </c>
      <c r="H45" s="23">
        <f>F45/3.986</f>
        <v>0</v>
      </c>
      <c r="I45" s="63">
        <f>B45*D45</f>
        <v>0</v>
      </c>
      <c r="J45" s="7"/>
      <c r="K45" s="62"/>
      <c r="L45" s="20"/>
      <c r="M45" s="21"/>
      <c r="N45" s="20"/>
      <c r="O45" s="20"/>
      <c r="P45" s="22"/>
      <c r="Q45" s="22">
        <f t="shared" ref="Q45:Q46" si="26">L45*P45</f>
        <v>0</v>
      </c>
      <c r="R45" s="23">
        <f>P45/3.743</f>
        <v>0</v>
      </c>
      <c r="S45" s="63">
        <f t="shared" si="22"/>
        <v>0</v>
      </c>
      <c r="T45" s="2"/>
      <c r="U45" s="62"/>
      <c r="V45" s="20"/>
      <c r="W45" s="21"/>
      <c r="X45" s="20"/>
      <c r="Y45" s="20"/>
      <c r="Z45" s="22"/>
      <c r="AA45" s="22">
        <v>400</v>
      </c>
      <c r="AB45" s="23">
        <f>Z45/3.743</f>
        <v>0</v>
      </c>
      <c r="AC45" s="63">
        <f t="shared" ref="AC45:AC46" si="27">V45*X45</f>
        <v>0</v>
      </c>
    </row>
    <row r="46" spans="1:29" ht="18" x14ac:dyDescent="0.25">
      <c r="A46" s="62"/>
      <c r="B46" s="20"/>
      <c r="C46" s="21"/>
      <c r="D46" s="20"/>
      <c r="E46" s="20"/>
      <c r="F46" s="22"/>
      <c r="G46" s="22">
        <f t="shared" ref="G46" si="28">B46*F46</f>
        <v>0</v>
      </c>
      <c r="H46" s="23">
        <f>F46/3.318</f>
        <v>0</v>
      </c>
      <c r="I46" s="63">
        <f t="shared" si="24"/>
        <v>0</v>
      </c>
      <c r="J46" s="7"/>
      <c r="K46" s="62"/>
      <c r="L46" s="20"/>
      <c r="M46" s="30"/>
      <c r="N46" s="20"/>
      <c r="O46" s="20"/>
      <c r="P46" s="22"/>
      <c r="Q46" s="22">
        <f t="shared" si="26"/>
        <v>0</v>
      </c>
      <c r="R46" s="23">
        <f>P46/3.228</f>
        <v>0</v>
      </c>
      <c r="S46" s="63">
        <f t="shared" si="22"/>
        <v>0</v>
      </c>
      <c r="T46" s="2"/>
      <c r="U46" s="62"/>
      <c r="V46" s="20"/>
      <c r="W46" s="21"/>
      <c r="X46" s="20"/>
      <c r="Y46" s="20"/>
      <c r="Z46" s="22"/>
      <c r="AA46" s="22">
        <f t="shared" ref="AA46" si="29">V46*Z46</f>
        <v>0</v>
      </c>
      <c r="AB46" s="23">
        <f>Z46/3.228</f>
        <v>0</v>
      </c>
      <c r="AC46" s="63">
        <f t="shared" si="27"/>
        <v>0</v>
      </c>
    </row>
    <row r="47" spans="1:29" ht="18" x14ac:dyDescent="0.25">
      <c r="A47" s="62"/>
      <c r="B47" s="19"/>
      <c r="C47" s="36"/>
      <c r="D47" s="19"/>
      <c r="E47" s="20"/>
      <c r="F47" s="28"/>
      <c r="G47" s="28"/>
      <c r="H47" s="34"/>
      <c r="I47" s="65"/>
      <c r="J47" s="7"/>
      <c r="K47" s="62"/>
      <c r="L47" s="20"/>
      <c r="M47" s="21"/>
      <c r="N47" s="20"/>
      <c r="O47" s="20"/>
      <c r="P47" s="22"/>
      <c r="Q47" s="22"/>
      <c r="R47" s="23"/>
      <c r="S47" s="63"/>
      <c r="T47" s="2"/>
      <c r="U47" s="62"/>
      <c r="V47" s="20"/>
      <c r="W47" s="21"/>
      <c r="X47" s="20"/>
      <c r="Y47" s="20"/>
      <c r="Z47" s="22"/>
      <c r="AA47" s="22"/>
      <c r="AB47" s="23"/>
      <c r="AC47" s="63"/>
    </row>
    <row r="48" spans="1:29" ht="18" x14ac:dyDescent="0.25">
      <c r="A48" s="64">
        <f>B36-(B37+B48)</f>
        <v>0</v>
      </c>
      <c r="B48" s="26">
        <f>SUM(B38:B47)</f>
        <v>46496</v>
      </c>
      <c r="C48" s="27"/>
      <c r="D48" s="27">
        <f>SUM(D37:D45)</f>
        <v>240</v>
      </c>
      <c r="E48" s="27"/>
      <c r="F48" s="28">
        <f>G48/B48</f>
        <v>2.8421154507914661</v>
      </c>
      <c r="G48" s="28">
        <f>SUM(G38:G47)</f>
        <v>132147</v>
      </c>
      <c r="H48" s="19"/>
      <c r="I48" s="65"/>
      <c r="J48" s="7"/>
      <c r="K48" s="64">
        <f>L36-(L37+L48)</f>
        <v>0</v>
      </c>
      <c r="L48" s="26">
        <f>SUM(L38:L47)</f>
        <v>46148</v>
      </c>
      <c r="M48" s="27"/>
      <c r="N48" s="27">
        <f>SUM(N37:N44)</f>
        <v>198</v>
      </c>
      <c r="O48" s="27"/>
      <c r="P48" s="28">
        <f>Q48/L48</f>
        <v>2.7334229002340296</v>
      </c>
      <c r="Q48" s="28">
        <f>SUM(Q38:Q47)</f>
        <v>126142</v>
      </c>
      <c r="R48" s="19"/>
      <c r="S48" s="65"/>
      <c r="T48" s="2"/>
      <c r="U48" s="64">
        <f>V36-(V37+V48)</f>
        <v>0</v>
      </c>
      <c r="V48" s="26">
        <f>SUM(V38:V47)</f>
        <v>46120</v>
      </c>
      <c r="W48" s="27"/>
      <c r="X48" s="27">
        <f>SUM(X37:X44)</f>
        <v>150</v>
      </c>
      <c r="Y48" s="27"/>
      <c r="Z48" s="28">
        <f>AA48/V48</f>
        <v>2.8885299219427578</v>
      </c>
      <c r="AA48" s="28">
        <f>SUM(AA38:AA47)</f>
        <v>133219</v>
      </c>
      <c r="AB48" s="19"/>
      <c r="AC48" s="65"/>
    </row>
    <row r="49" spans="1:29" ht="18.75" thickBot="1" x14ac:dyDescent="0.3">
      <c r="A49" s="66"/>
      <c r="B49" s="67"/>
      <c r="C49" s="67"/>
      <c r="D49" s="67"/>
      <c r="E49" s="67"/>
      <c r="F49" s="68"/>
      <c r="G49" s="69" t="s">
        <v>37</v>
      </c>
      <c r="H49" s="70" t="s">
        <v>38</v>
      </c>
      <c r="I49" s="71">
        <f>SUM(I38:I47)/(B36-B37)</f>
        <v>40.115278733654506</v>
      </c>
      <c r="J49" s="2"/>
      <c r="K49" s="66"/>
      <c r="L49" s="67"/>
      <c r="M49" s="67"/>
      <c r="N49" s="67"/>
      <c r="O49" s="67"/>
      <c r="P49" s="68"/>
      <c r="Q49" s="69" t="s">
        <v>37</v>
      </c>
      <c r="R49" s="70" t="s">
        <v>38</v>
      </c>
      <c r="S49" s="71">
        <f>SUM(S38:S47)/(L36-L37)</f>
        <v>40.561324434428364</v>
      </c>
      <c r="T49" s="2"/>
      <c r="U49" s="66"/>
      <c r="V49" s="67"/>
      <c r="W49" s="67"/>
      <c r="X49" s="67"/>
      <c r="Y49" s="67"/>
      <c r="Z49" s="68"/>
      <c r="AA49" s="69" t="s">
        <v>37</v>
      </c>
      <c r="AB49" s="70" t="s">
        <v>38</v>
      </c>
      <c r="AC49" s="71">
        <f>SUM(AC38:AC47)/(V36-V37)</f>
        <v>39.683607979184735</v>
      </c>
    </row>
    <row r="51" spans="1:29" ht="15.75" thickBot="1" x14ac:dyDescent="0.3"/>
    <row r="52" spans="1:29" ht="54" x14ac:dyDescent="0.25">
      <c r="A52" s="8" t="s">
        <v>46</v>
      </c>
      <c r="B52" s="9" t="s">
        <v>4</v>
      </c>
      <c r="C52" s="9" t="s">
        <v>5</v>
      </c>
      <c r="D52" s="9" t="s">
        <v>6</v>
      </c>
      <c r="E52" s="9" t="s">
        <v>7</v>
      </c>
      <c r="F52" s="10" t="s">
        <v>8</v>
      </c>
      <c r="G52" s="10" t="s">
        <v>9</v>
      </c>
      <c r="H52" s="9" t="s">
        <v>10</v>
      </c>
      <c r="I52" s="11" t="s">
        <v>11</v>
      </c>
      <c r="J52" s="13"/>
      <c r="K52" s="8" t="s">
        <v>47</v>
      </c>
      <c r="L52" s="9" t="s">
        <v>4</v>
      </c>
      <c r="M52" s="9" t="s">
        <v>5</v>
      </c>
      <c r="N52" s="9" t="s">
        <v>6</v>
      </c>
      <c r="O52" s="9" t="s">
        <v>7</v>
      </c>
      <c r="P52" s="10" t="s">
        <v>8</v>
      </c>
      <c r="Q52" s="10" t="s">
        <v>9</v>
      </c>
      <c r="R52" s="9" t="s">
        <v>10</v>
      </c>
      <c r="S52" s="11" t="s">
        <v>11</v>
      </c>
      <c r="T52" s="2"/>
      <c r="U52" s="8" t="s">
        <v>48</v>
      </c>
      <c r="V52" s="9" t="s">
        <v>4</v>
      </c>
      <c r="W52" s="9" t="s">
        <v>5</v>
      </c>
      <c r="X52" s="9" t="s">
        <v>6</v>
      </c>
      <c r="Y52" s="9" t="s">
        <v>7</v>
      </c>
      <c r="Z52" s="10" t="s">
        <v>8</v>
      </c>
      <c r="AA52" s="10" t="s">
        <v>9</v>
      </c>
      <c r="AB52" s="9" t="s">
        <v>10</v>
      </c>
      <c r="AC52" s="11" t="s">
        <v>11</v>
      </c>
    </row>
    <row r="53" spans="1:29" ht="18" x14ac:dyDescent="0.25">
      <c r="A53" s="62" t="s">
        <v>17</v>
      </c>
      <c r="B53" s="27">
        <v>48100</v>
      </c>
      <c r="C53" s="27"/>
      <c r="D53" s="27"/>
      <c r="E53" s="27"/>
      <c r="F53" s="39"/>
      <c r="G53" s="39"/>
      <c r="H53" s="27"/>
      <c r="I53" s="65"/>
      <c r="J53" s="7"/>
      <c r="K53" s="62" t="s">
        <v>17</v>
      </c>
      <c r="L53" s="27">
        <v>48100</v>
      </c>
      <c r="M53" s="27"/>
      <c r="N53" s="27"/>
      <c r="O53" s="27"/>
      <c r="P53" s="39"/>
      <c r="Q53" s="39"/>
      <c r="R53" s="27"/>
      <c r="S53" s="65"/>
      <c r="T53" s="2"/>
      <c r="U53" s="62" t="s">
        <v>17</v>
      </c>
      <c r="V53" s="27">
        <v>49400</v>
      </c>
      <c r="W53" s="27"/>
      <c r="X53" s="27"/>
      <c r="Y53" s="27"/>
      <c r="Z53" s="39"/>
      <c r="AA53" s="39"/>
      <c r="AB53" s="27"/>
      <c r="AC53" s="65"/>
    </row>
    <row r="54" spans="1:29" ht="18" x14ac:dyDescent="0.25">
      <c r="A54" s="62" t="s">
        <v>21</v>
      </c>
      <c r="B54" s="42">
        <v>948</v>
      </c>
      <c r="C54" s="43">
        <f>B54/B53</f>
        <v>1.9708939708939707E-2</v>
      </c>
      <c r="D54" s="44"/>
      <c r="E54" s="44"/>
      <c r="F54" s="23"/>
      <c r="G54" s="22"/>
      <c r="H54" s="20"/>
      <c r="I54" s="63"/>
      <c r="J54" s="7"/>
      <c r="K54" s="62" t="s">
        <v>21</v>
      </c>
      <c r="L54" s="26">
        <v>0</v>
      </c>
      <c r="M54" s="40">
        <f>L54/L53</f>
        <v>0</v>
      </c>
      <c r="N54" s="27"/>
      <c r="O54" s="27"/>
      <c r="P54" s="41"/>
      <c r="Q54" s="28"/>
      <c r="R54" s="19"/>
      <c r="S54" s="65"/>
      <c r="T54" s="2"/>
      <c r="U54" s="62" t="s">
        <v>21</v>
      </c>
      <c r="V54" s="26">
        <v>4384</v>
      </c>
      <c r="W54" s="40">
        <f>V54/V53</f>
        <v>8.8744939271255055E-2</v>
      </c>
      <c r="X54" s="27"/>
      <c r="Y54" s="27"/>
      <c r="Z54" s="41"/>
      <c r="AA54" s="28"/>
      <c r="AB54" s="19"/>
      <c r="AC54" s="65"/>
    </row>
    <row r="55" spans="1:29" ht="18" x14ac:dyDescent="0.25">
      <c r="A55" s="62"/>
      <c r="B55" s="142">
        <v>6336</v>
      </c>
      <c r="C55" s="117">
        <v>46086</v>
      </c>
      <c r="D55" s="118">
        <v>33</v>
      </c>
      <c r="E55" s="117" t="s">
        <v>24</v>
      </c>
      <c r="F55" s="140">
        <v>2.08</v>
      </c>
      <c r="G55" s="119">
        <v>13192</v>
      </c>
      <c r="H55" s="120">
        <f>F55/2.097</f>
        <v>0.99189318073438248</v>
      </c>
      <c r="I55" s="134">
        <f>B55*D55</f>
        <v>209088</v>
      </c>
      <c r="J55" s="7"/>
      <c r="K55" s="62"/>
      <c r="L55" s="142">
        <v>6336</v>
      </c>
      <c r="M55" s="117">
        <v>46086</v>
      </c>
      <c r="N55" s="118">
        <v>33</v>
      </c>
      <c r="O55" s="117" t="s">
        <v>24</v>
      </c>
      <c r="P55" s="140">
        <v>2.2000000000000002</v>
      </c>
      <c r="Q55" s="119">
        <v>13955</v>
      </c>
      <c r="R55" s="120">
        <f>P55/2.097</f>
        <v>1.0491177873152122</v>
      </c>
      <c r="S55" s="121">
        <f>L55*N55</f>
        <v>209088</v>
      </c>
      <c r="T55" s="2"/>
      <c r="U55" s="62"/>
      <c r="V55" s="142">
        <v>5472</v>
      </c>
      <c r="W55" s="117">
        <v>46084</v>
      </c>
      <c r="X55" s="118">
        <v>31</v>
      </c>
      <c r="Y55" s="117" t="s">
        <v>24</v>
      </c>
      <c r="Z55" s="140">
        <v>1.9</v>
      </c>
      <c r="AA55" s="119">
        <v>10417</v>
      </c>
      <c r="AB55" s="120">
        <f>Z55/1.901</f>
        <v>0.99947396107311937</v>
      </c>
      <c r="AC55" s="121">
        <f t="shared" ref="AC55:AC56" si="30">V55*X55</f>
        <v>169632</v>
      </c>
    </row>
    <row r="56" spans="1:29" ht="18" x14ac:dyDescent="0.25">
      <c r="A56" s="62"/>
      <c r="B56" s="142">
        <v>5808</v>
      </c>
      <c r="C56" s="117">
        <v>46087</v>
      </c>
      <c r="D56" s="118">
        <v>35</v>
      </c>
      <c r="E56" s="117" t="s">
        <v>24</v>
      </c>
      <c r="F56" s="140">
        <v>2.41</v>
      </c>
      <c r="G56" s="119">
        <v>14011</v>
      </c>
      <c r="H56" s="120">
        <f>F56/2.296</f>
        <v>1.0496515679442511</v>
      </c>
      <c r="I56" s="134">
        <f>B56*D56</f>
        <v>203280</v>
      </c>
      <c r="J56" s="7"/>
      <c r="K56" s="62"/>
      <c r="L56" s="142">
        <v>5808</v>
      </c>
      <c r="M56" s="117">
        <v>46087</v>
      </c>
      <c r="N56" s="118">
        <v>35</v>
      </c>
      <c r="O56" s="117" t="s">
        <v>24</v>
      </c>
      <c r="P56" s="140">
        <v>2.3199999999999998</v>
      </c>
      <c r="Q56" s="119">
        <v>13495</v>
      </c>
      <c r="R56" s="120">
        <f>P56/2.296</f>
        <v>1.0104529616724738</v>
      </c>
      <c r="S56" s="121">
        <f>L56*N56</f>
        <v>203280</v>
      </c>
      <c r="T56" s="2"/>
      <c r="U56" s="62"/>
      <c r="V56" s="142">
        <v>1216</v>
      </c>
      <c r="W56" s="117">
        <v>46084</v>
      </c>
      <c r="X56" s="118">
        <v>31</v>
      </c>
      <c r="Y56" s="117" t="s">
        <v>24</v>
      </c>
      <c r="Z56" s="140">
        <v>1.9</v>
      </c>
      <c r="AA56" s="119">
        <v>2316</v>
      </c>
      <c r="AB56" s="120">
        <f>Z56/1.901</f>
        <v>0.99947396107311937</v>
      </c>
      <c r="AC56" s="121">
        <f t="shared" si="30"/>
        <v>37696</v>
      </c>
    </row>
    <row r="57" spans="1:29" ht="18" x14ac:dyDescent="0.25">
      <c r="A57" s="62"/>
      <c r="B57" s="118">
        <v>4576</v>
      </c>
      <c r="C57" s="117">
        <v>46092</v>
      </c>
      <c r="D57" s="118">
        <v>40</v>
      </c>
      <c r="E57" s="118" t="s">
        <v>24</v>
      </c>
      <c r="F57" s="119">
        <v>2.95</v>
      </c>
      <c r="G57" s="119">
        <v>13515</v>
      </c>
      <c r="H57" s="120">
        <f>F57/2.796</f>
        <v>1.0550786838340487</v>
      </c>
      <c r="I57" s="121">
        <f t="shared" ref="I57" si="31">B57*D57</f>
        <v>183040</v>
      </c>
      <c r="J57" s="7"/>
      <c r="K57" s="62"/>
      <c r="L57" s="118">
        <v>4576</v>
      </c>
      <c r="M57" s="117">
        <v>46092</v>
      </c>
      <c r="N57" s="118">
        <v>40</v>
      </c>
      <c r="O57" s="118" t="s">
        <v>24</v>
      </c>
      <c r="P57" s="119">
        <v>2.93</v>
      </c>
      <c r="Q57" s="119">
        <v>13392</v>
      </c>
      <c r="R57" s="120">
        <f>P57/2.796</f>
        <v>1.047925608011445</v>
      </c>
      <c r="S57" s="121">
        <f>L57*N57</f>
        <v>183040</v>
      </c>
      <c r="T57" s="2"/>
      <c r="U57" s="62"/>
      <c r="V57" s="118">
        <v>5984</v>
      </c>
      <c r="W57" s="117">
        <v>46087</v>
      </c>
      <c r="X57" s="118">
        <v>35</v>
      </c>
      <c r="Y57" s="118" t="s">
        <v>24</v>
      </c>
      <c r="Z57" s="119">
        <v>2.2999999999999998</v>
      </c>
      <c r="AA57" s="119">
        <v>13754</v>
      </c>
      <c r="AB57" s="120">
        <f>Z57/2.296</f>
        <v>1.0017421602787457</v>
      </c>
      <c r="AC57" s="121">
        <f t="shared" ref="AC57:AC58" si="32">V57*X57</f>
        <v>209440</v>
      </c>
    </row>
    <row r="58" spans="1:29" ht="18" x14ac:dyDescent="0.25">
      <c r="A58" s="62"/>
      <c r="B58" s="118">
        <v>4224</v>
      </c>
      <c r="C58" s="117">
        <v>46094</v>
      </c>
      <c r="D58" s="118">
        <v>42</v>
      </c>
      <c r="E58" s="118" t="s">
        <v>24</v>
      </c>
      <c r="F58" s="119">
        <v>3.05</v>
      </c>
      <c r="G58" s="119">
        <v>12872</v>
      </c>
      <c r="H58" s="120">
        <f>F58/2.989</f>
        <v>1.0204081632653061</v>
      </c>
      <c r="I58" s="134">
        <f t="shared" ref="I58" si="33">B58*D58</f>
        <v>177408</v>
      </c>
      <c r="J58" s="7"/>
      <c r="K58" s="62"/>
      <c r="L58" s="135">
        <v>11712</v>
      </c>
      <c r="M58" s="136">
        <v>46094</v>
      </c>
      <c r="N58" s="135">
        <v>42</v>
      </c>
      <c r="O58" s="135" t="s">
        <v>24</v>
      </c>
      <c r="P58" s="137">
        <v>3.01</v>
      </c>
      <c r="Q58" s="137">
        <v>35297</v>
      </c>
      <c r="R58" s="138">
        <f>P58/2.989</f>
        <v>1.0070257611241218</v>
      </c>
      <c r="S58" s="121">
        <f t="shared" ref="S58" si="34">L58*N58</f>
        <v>491904</v>
      </c>
      <c r="T58" s="2"/>
      <c r="U58" s="62"/>
      <c r="V58" s="118">
        <v>10208</v>
      </c>
      <c r="W58" s="117">
        <v>46090</v>
      </c>
      <c r="X58" s="118">
        <v>38</v>
      </c>
      <c r="Y58" s="118" t="s">
        <v>24</v>
      </c>
      <c r="Z58" s="119">
        <v>2.57</v>
      </c>
      <c r="AA58" s="119">
        <v>26264</v>
      </c>
      <c r="AB58" s="120">
        <f>Z58/2.597</f>
        <v>0.98960338852522134</v>
      </c>
      <c r="AC58" s="121">
        <f t="shared" si="32"/>
        <v>387904</v>
      </c>
    </row>
    <row r="59" spans="1:29" ht="18" x14ac:dyDescent="0.25">
      <c r="A59" s="62"/>
      <c r="B59" s="29">
        <v>26208</v>
      </c>
      <c r="C59" s="30">
        <v>46097</v>
      </c>
      <c r="D59" s="29">
        <v>45</v>
      </c>
      <c r="E59" s="29" t="s">
        <v>24</v>
      </c>
      <c r="F59" s="31">
        <v>3.69</v>
      </c>
      <c r="G59" s="31">
        <v>87118</v>
      </c>
      <c r="H59" s="32">
        <f>F59/3.707</f>
        <v>0.99541408146749399</v>
      </c>
      <c r="I59" s="116">
        <f t="shared" ref="I59:I63" si="35">B59*D59</f>
        <v>1179360</v>
      </c>
      <c r="J59" s="7"/>
      <c r="K59" s="62"/>
      <c r="L59" s="128">
        <v>15000</v>
      </c>
      <c r="M59" s="127">
        <v>46097</v>
      </c>
      <c r="N59" s="128">
        <v>45</v>
      </c>
      <c r="O59" s="128" t="s">
        <v>24</v>
      </c>
      <c r="P59" s="129">
        <v>3.7</v>
      </c>
      <c r="Q59" s="129">
        <v>68838</v>
      </c>
      <c r="R59" s="130">
        <f>P59/3.296</f>
        <v>1.1225728155339807</v>
      </c>
      <c r="S59" s="131">
        <f t="shared" ref="S59" si="36">L59*N59</f>
        <v>675000</v>
      </c>
      <c r="T59" s="2"/>
      <c r="U59" s="62"/>
      <c r="V59" s="107"/>
      <c r="W59" s="108"/>
      <c r="X59" s="107"/>
      <c r="Y59" s="29" t="s">
        <v>24</v>
      </c>
      <c r="Z59" s="31">
        <v>0</v>
      </c>
      <c r="AA59" s="31">
        <v>0</v>
      </c>
      <c r="AB59" s="32">
        <f>Z59/2.998</f>
        <v>0</v>
      </c>
      <c r="AC59" s="87">
        <v>0</v>
      </c>
    </row>
    <row r="60" spans="1:29" ht="18" x14ac:dyDescent="0.25">
      <c r="A60" s="62"/>
      <c r="B60" s="29"/>
      <c r="C60" s="30"/>
      <c r="D60" s="29"/>
      <c r="E60" s="29"/>
      <c r="F60" s="31"/>
      <c r="G60" s="31">
        <f t="shared" ref="G60:G63" si="37">B60*F60</f>
        <v>0</v>
      </c>
      <c r="H60" s="32">
        <f>F60/3.92</f>
        <v>0</v>
      </c>
      <c r="I60" s="87">
        <f t="shared" si="35"/>
        <v>0</v>
      </c>
      <c r="J60" s="7"/>
      <c r="K60" s="62"/>
      <c r="L60" s="29"/>
      <c r="M60" s="30"/>
      <c r="N60" s="29"/>
      <c r="O60" s="29"/>
      <c r="P60" s="31">
        <v>0</v>
      </c>
      <c r="Q60" s="31">
        <v>0</v>
      </c>
      <c r="R60" s="32">
        <f>P60/3.296</f>
        <v>0</v>
      </c>
      <c r="S60" s="87">
        <f>L60*N60</f>
        <v>0</v>
      </c>
      <c r="T60" s="2"/>
      <c r="U60" s="62"/>
      <c r="V60" s="107">
        <v>6864</v>
      </c>
      <c r="W60" s="108">
        <v>46094</v>
      </c>
      <c r="X60" s="107">
        <v>42</v>
      </c>
      <c r="Y60" s="29" t="s">
        <v>24</v>
      </c>
      <c r="Z60" s="31">
        <v>2.77</v>
      </c>
      <c r="AA60" s="31">
        <v>19004</v>
      </c>
      <c r="AB60" s="32">
        <f>Z60/3.617</f>
        <v>0.76582803428255464</v>
      </c>
      <c r="AC60" s="87">
        <f t="shared" ref="AC60:AC61" si="38">V60*X60</f>
        <v>288288</v>
      </c>
    </row>
    <row r="61" spans="1:29" ht="18" x14ac:dyDescent="0.25">
      <c r="A61" s="62"/>
      <c r="B61" s="20"/>
      <c r="C61" s="21"/>
      <c r="D61" s="20"/>
      <c r="E61" s="20"/>
      <c r="F61" s="22"/>
      <c r="G61" s="22">
        <v>0</v>
      </c>
      <c r="H61" s="23">
        <f>F61/3.986</f>
        <v>0</v>
      </c>
      <c r="I61" s="63">
        <f t="shared" si="35"/>
        <v>0</v>
      </c>
      <c r="J61" s="7"/>
      <c r="K61" s="62"/>
      <c r="L61" s="20"/>
      <c r="M61" s="25"/>
      <c r="N61" s="20"/>
      <c r="O61" s="20"/>
      <c r="P61" s="22"/>
      <c r="Q61" s="22">
        <f>L61*P61</f>
        <v>0</v>
      </c>
      <c r="R61" s="23">
        <f>P61/3.659</f>
        <v>0</v>
      </c>
      <c r="S61" s="63">
        <f>L61*N61</f>
        <v>0</v>
      </c>
      <c r="T61" s="2"/>
      <c r="U61" s="62"/>
      <c r="V61" s="20">
        <v>15272</v>
      </c>
      <c r="W61" s="25">
        <v>46097</v>
      </c>
      <c r="X61" s="20">
        <v>45</v>
      </c>
      <c r="Y61" s="20" t="s">
        <v>24</v>
      </c>
      <c r="Z61" s="22">
        <v>3.45</v>
      </c>
      <c r="AA61" s="22">
        <v>60896</v>
      </c>
      <c r="AB61" s="23">
        <f>Z61/3.295</f>
        <v>1.0470409711684372</v>
      </c>
      <c r="AC61" s="63">
        <f t="shared" si="38"/>
        <v>687240</v>
      </c>
    </row>
    <row r="62" spans="1:29" ht="18" x14ac:dyDescent="0.25">
      <c r="A62" s="62"/>
      <c r="B62" s="20"/>
      <c r="C62" s="21"/>
      <c r="D62" s="20" t="s">
        <v>42</v>
      </c>
      <c r="E62" s="20"/>
      <c r="F62" s="31"/>
      <c r="G62" s="22">
        <f t="shared" si="37"/>
        <v>0</v>
      </c>
      <c r="H62" s="23">
        <f>F62/3.986</f>
        <v>0</v>
      </c>
      <c r="I62" s="63">
        <v>0</v>
      </c>
      <c r="J62" s="7"/>
      <c r="K62" s="62"/>
      <c r="L62" s="20"/>
      <c r="M62" s="21"/>
      <c r="N62" s="20"/>
      <c r="O62" s="20"/>
      <c r="P62" s="22"/>
      <c r="Q62" s="22">
        <f t="shared" ref="Q62:Q63" si="39">L62*P62</f>
        <v>0</v>
      </c>
      <c r="R62" s="23">
        <f>P62/3.743</f>
        <v>0</v>
      </c>
      <c r="S62" s="63">
        <f t="shared" ref="S62:S63" si="40">L62*N62</f>
        <v>0</v>
      </c>
      <c r="T62" s="2"/>
      <c r="U62" s="62"/>
      <c r="V62" s="20"/>
      <c r="W62" s="21"/>
      <c r="X62" s="20"/>
      <c r="Y62" s="20"/>
      <c r="Z62" s="22"/>
      <c r="AA62" s="22">
        <f t="shared" ref="AA62:AA63" si="41">V62*Z62</f>
        <v>0</v>
      </c>
      <c r="AB62" s="23">
        <f>Z62/3.743</f>
        <v>0</v>
      </c>
      <c r="AC62" s="63">
        <f t="shared" ref="AC62:AC63" si="42">V62*X62</f>
        <v>0</v>
      </c>
    </row>
    <row r="63" spans="1:29" ht="18" x14ac:dyDescent="0.25">
      <c r="A63" s="62"/>
      <c r="B63" s="20"/>
      <c r="C63" s="21"/>
      <c r="D63" s="20"/>
      <c r="E63" s="20"/>
      <c r="F63" s="22"/>
      <c r="G63" s="22">
        <f t="shared" si="37"/>
        <v>0</v>
      </c>
      <c r="H63" s="23">
        <f>F63/3.318</f>
        <v>0</v>
      </c>
      <c r="I63" s="63">
        <f t="shared" si="35"/>
        <v>0</v>
      </c>
      <c r="J63" s="7"/>
      <c r="K63" s="62"/>
      <c r="L63" s="20"/>
      <c r="M63" s="21"/>
      <c r="N63" s="20"/>
      <c r="O63" s="20"/>
      <c r="P63" s="22"/>
      <c r="Q63" s="22">
        <f t="shared" si="39"/>
        <v>0</v>
      </c>
      <c r="R63" s="23">
        <f>P63/3.228</f>
        <v>0</v>
      </c>
      <c r="S63" s="63">
        <f t="shared" si="40"/>
        <v>0</v>
      </c>
      <c r="T63" s="2"/>
      <c r="U63" s="62"/>
      <c r="V63" s="20"/>
      <c r="W63" s="21"/>
      <c r="X63" s="20"/>
      <c r="Y63" s="20"/>
      <c r="Z63" s="22"/>
      <c r="AA63" s="22">
        <f t="shared" si="41"/>
        <v>0</v>
      </c>
      <c r="AB63" s="23">
        <f>Z63/3.228</f>
        <v>0</v>
      </c>
      <c r="AC63" s="63">
        <f t="shared" si="42"/>
        <v>0</v>
      </c>
    </row>
    <row r="64" spans="1:29" ht="18" x14ac:dyDescent="0.25">
      <c r="A64" s="62"/>
      <c r="B64" s="19"/>
      <c r="C64" s="36"/>
      <c r="D64" s="19"/>
      <c r="E64" s="20"/>
      <c r="F64" s="28"/>
      <c r="G64" s="28"/>
      <c r="H64" s="34"/>
      <c r="I64" s="65"/>
      <c r="J64" s="7"/>
      <c r="K64" s="62"/>
      <c r="L64" s="20"/>
      <c r="M64" s="21"/>
      <c r="N64" s="20"/>
      <c r="O64" s="20"/>
      <c r="P64" s="22"/>
      <c r="Q64" s="22"/>
      <c r="R64" s="23"/>
      <c r="S64" s="63"/>
      <c r="T64" s="2"/>
      <c r="U64" s="62"/>
      <c r="V64" s="20"/>
      <c r="W64" s="21"/>
      <c r="X64" s="20"/>
      <c r="Y64" s="20"/>
      <c r="Z64" s="22"/>
      <c r="AA64" s="22"/>
      <c r="AB64" s="23"/>
      <c r="AC64" s="63"/>
    </row>
    <row r="65" spans="1:29" ht="18" x14ac:dyDescent="0.25">
      <c r="A65" s="64">
        <f>B53-(B54+B65)</f>
        <v>0</v>
      </c>
      <c r="B65" s="26">
        <f>SUM(B55:B64)</f>
        <v>47152</v>
      </c>
      <c r="C65" s="27"/>
      <c r="D65" s="27">
        <f>SUM(D54:D62)</f>
        <v>195</v>
      </c>
      <c r="E65" s="27"/>
      <c r="F65" s="28">
        <f>G65/B65</f>
        <v>2.9841364099083814</v>
      </c>
      <c r="G65" s="28">
        <f>SUM(G55:G64)</f>
        <v>140708</v>
      </c>
      <c r="H65" s="19"/>
      <c r="I65" s="65"/>
      <c r="J65" s="7"/>
      <c r="K65" s="64">
        <f>L53-(L54+L65)</f>
        <v>4668</v>
      </c>
      <c r="L65" s="26">
        <f>SUM(L55:L64)</f>
        <v>43432</v>
      </c>
      <c r="M65" s="27"/>
      <c r="N65" s="27">
        <f>SUM(N54:N61)</f>
        <v>195</v>
      </c>
      <c r="O65" s="27"/>
      <c r="P65" s="28">
        <f>Q65/L65</f>
        <v>3.3380226561060971</v>
      </c>
      <c r="Q65" s="28">
        <f>SUM(Q55:Q64)</f>
        <v>144977</v>
      </c>
      <c r="R65" s="19"/>
      <c r="S65" s="65"/>
      <c r="T65" s="2"/>
      <c r="U65" s="64">
        <f>V53-(V54+V65)</f>
        <v>0</v>
      </c>
      <c r="V65" s="26">
        <f>SUM(V55:V64)</f>
        <v>45016</v>
      </c>
      <c r="W65" s="27"/>
      <c r="X65" s="27">
        <f>SUM(X54:X61)</f>
        <v>222</v>
      </c>
      <c r="Y65" s="27"/>
      <c r="Z65" s="28">
        <f>AA65/V65</f>
        <v>2.946752265861027</v>
      </c>
      <c r="AA65" s="28">
        <f>SUM(AA55:AA64)</f>
        <v>132651</v>
      </c>
      <c r="AB65" s="19"/>
      <c r="AC65" s="65"/>
    </row>
    <row r="66" spans="1:29" ht="18.75" thickBot="1" x14ac:dyDescent="0.3">
      <c r="A66" s="66"/>
      <c r="B66" s="67"/>
      <c r="C66" s="67"/>
      <c r="D66" s="67"/>
      <c r="E66" s="67"/>
      <c r="F66" s="68"/>
      <c r="G66" s="69" t="s">
        <v>37</v>
      </c>
      <c r="H66" s="70" t="s">
        <v>38</v>
      </c>
      <c r="I66" s="71">
        <f>SUM(I55:I64)/(B53-B54)</f>
        <v>41.401764506277573</v>
      </c>
      <c r="J66" s="2"/>
      <c r="K66" s="66"/>
      <c r="L66" s="67"/>
      <c r="M66" s="67"/>
      <c r="N66" s="67"/>
      <c r="O66" s="67"/>
      <c r="P66" s="68"/>
      <c r="Q66" s="69" t="s">
        <v>37</v>
      </c>
      <c r="R66" s="70" t="s">
        <v>38</v>
      </c>
      <c r="S66" s="71">
        <f>SUM(S55:S64)/(L53-L54)</f>
        <v>36.638503118503117</v>
      </c>
      <c r="T66" s="2"/>
      <c r="U66" s="66"/>
      <c r="V66" s="67"/>
      <c r="W66" s="67"/>
      <c r="X66" s="67"/>
      <c r="Y66" s="67"/>
      <c r="Z66" s="68"/>
      <c r="AA66" s="69" t="s">
        <v>37</v>
      </c>
      <c r="AB66" s="70" t="s">
        <v>38</v>
      </c>
      <c r="AC66" s="71">
        <f>SUM(AC55:AC64)/(V53-V54)</f>
        <v>39.545939221610091</v>
      </c>
    </row>
  </sheetData>
  <mergeCells count="12">
    <mergeCell ref="AM3:AN3"/>
    <mergeCell ref="AF4:AG4"/>
    <mergeCell ref="AF6:AG6"/>
    <mergeCell ref="AF7:AG7"/>
    <mergeCell ref="AF8:AG8"/>
    <mergeCell ref="AF5:AG5"/>
    <mergeCell ref="AJ5:AK5"/>
    <mergeCell ref="C1:D1"/>
    <mergeCell ref="B2:C2"/>
    <mergeCell ref="AF3:AG3"/>
    <mergeCell ref="AF10:AG10"/>
    <mergeCell ref="AF11:AG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double B poultry</dc:creator>
  <cp:lastModifiedBy>Jason Coverdale</cp:lastModifiedBy>
  <dcterms:created xsi:type="dcterms:W3CDTF">2024-07-29T21:34:17Z</dcterms:created>
  <dcterms:modified xsi:type="dcterms:W3CDTF">2026-04-27T03:34:11Z</dcterms:modified>
</cp:coreProperties>
</file>