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0C6CF9DB-8F09-45EA-91EB-27169EFCF0EE}" xr6:coauthVersionLast="47" xr6:coauthVersionMax="47" xr10:uidLastSave="{00000000-0000-0000-0000-000000000000}"/>
  <bookViews>
    <workbookView xWindow="-120" yWindow="-120" windowWidth="29040" windowHeight="15840" xr2:uid="{E9940897-AB27-4C63-AEEB-A9DC751BDC2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8" i="1" l="1"/>
  <c r="G75" i="1"/>
  <c r="E75" i="1"/>
  <c r="D77" i="1" s="1"/>
  <c r="N74" i="1"/>
  <c r="N73" i="1"/>
  <c r="J72" i="1"/>
  <c r="J71" i="1"/>
  <c r="G70" i="1"/>
  <c r="J69" i="1"/>
  <c r="G69" i="1"/>
  <c r="J68" i="1"/>
  <c r="J67" i="1"/>
  <c r="J66" i="1"/>
  <c r="J65" i="1"/>
  <c r="J64" i="1"/>
  <c r="J63" i="1"/>
  <c r="J62" i="1"/>
  <c r="J61" i="1"/>
  <c r="J60" i="1"/>
  <c r="J59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J20" i="1"/>
  <c r="J19" i="1"/>
  <c r="J18" i="1"/>
  <c r="J17" i="1"/>
  <c r="J16" i="1"/>
  <c r="A16" i="1"/>
  <c r="A17" i="1" s="1"/>
  <c r="A18" i="1" s="1"/>
  <c r="A19" i="1" s="1"/>
  <c r="J15" i="1"/>
  <c r="R14" i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J14" i="1"/>
  <c r="D14" i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A14" i="1"/>
  <c r="A15" i="1" s="1"/>
  <c r="O13" i="1"/>
  <c r="H13" i="1" s="1"/>
  <c r="J13" i="1"/>
  <c r="D13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J12" i="1"/>
  <c r="I12" i="1"/>
  <c r="H5" i="1"/>
  <c r="H4" i="1"/>
  <c r="G37" i="1" s="1"/>
  <c r="G38" i="1" s="1"/>
  <c r="G39" i="1" s="1"/>
  <c r="G40" i="1" s="1"/>
  <c r="G41" i="1" s="1"/>
  <c r="G42" i="1" s="1"/>
  <c r="G43" i="1" s="1"/>
  <c r="G44" i="1" s="1"/>
  <c r="H3" i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H2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I13" i="1" l="1"/>
  <c r="O14" i="1"/>
  <c r="I14" i="1" l="1"/>
  <c r="O15" i="1"/>
  <c r="H14" i="1"/>
  <c r="I15" i="1" l="1"/>
  <c r="O16" i="1"/>
  <c r="H15" i="1"/>
  <c r="O17" i="1" l="1"/>
  <c r="H16" i="1"/>
  <c r="I16" i="1" s="1"/>
  <c r="H17" i="1" l="1"/>
  <c r="I17" i="1" s="1"/>
  <c r="O18" i="1"/>
  <c r="O19" i="1" l="1"/>
  <c r="H18" i="1"/>
  <c r="I18" i="1" s="1"/>
  <c r="I19" i="1" l="1"/>
  <c r="H19" i="1"/>
  <c r="O20" i="1"/>
  <c r="O21" i="1" l="1"/>
  <c r="H20" i="1"/>
  <c r="I20" i="1" s="1"/>
  <c r="O22" i="1" l="1"/>
  <c r="H21" i="1"/>
  <c r="I21" i="1" s="1"/>
  <c r="O23" i="1" l="1"/>
  <c r="H22" i="1"/>
  <c r="I22" i="1" s="1"/>
  <c r="O24" i="1" l="1"/>
  <c r="H23" i="1"/>
  <c r="I23" i="1" s="1"/>
  <c r="O25" i="1" l="1"/>
  <c r="H24" i="1"/>
  <c r="I24" i="1" s="1"/>
  <c r="O26" i="1" l="1"/>
  <c r="H25" i="1"/>
  <c r="I25" i="1" s="1"/>
  <c r="O27" i="1" l="1"/>
  <c r="H26" i="1"/>
  <c r="I26" i="1" s="1"/>
  <c r="O28" i="1" l="1"/>
  <c r="H27" i="1"/>
  <c r="I27" i="1" s="1"/>
  <c r="O29" i="1" l="1"/>
  <c r="H28" i="1"/>
  <c r="I28" i="1" s="1"/>
  <c r="H29" i="1" l="1"/>
  <c r="I29" i="1" s="1"/>
  <c r="O30" i="1"/>
  <c r="O31" i="1" l="1"/>
  <c r="H30" i="1"/>
  <c r="I30" i="1" s="1"/>
  <c r="O32" i="1" l="1"/>
  <c r="H31" i="1"/>
  <c r="I31" i="1" s="1"/>
  <c r="O33" i="1" l="1"/>
  <c r="H32" i="1"/>
  <c r="I32" i="1" s="1"/>
  <c r="O34" i="1" l="1"/>
  <c r="H33" i="1"/>
  <c r="I33" i="1" s="1"/>
  <c r="O35" i="1" l="1"/>
  <c r="H34" i="1"/>
  <c r="I34" i="1" s="1"/>
  <c r="O36" i="1" l="1"/>
  <c r="H35" i="1"/>
  <c r="I35" i="1" s="1"/>
  <c r="O37" i="1" l="1"/>
  <c r="H36" i="1"/>
  <c r="I36" i="1" s="1"/>
  <c r="O38" i="1" l="1"/>
  <c r="H37" i="1"/>
  <c r="I37" i="1" s="1"/>
  <c r="O39" i="1" l="1"/>
  <c r="H38" i="1"/>
  <c r="I38" i="1" s="1"/>
  <c r="O40" i="1" l="1"/>
  <c r="H39" i="1"/>
  <c r="I39" i="1" s="1"/>
  <c r="O41" i="1" l="1"/>
  <c r="H40" i="1"/>
  <c r="I40" i="1" s="1"/>
  <c r="O42" i="1" l="1"/>
  <c r="H41" i="1"/>
  <c r="I41" i="1" s="1"/>
  <c r="O43" i="1" l="1"/>
  <c r="H42" i="1"/>
  <c r="I42" i="1" s="1"/>
  <c r="O44" i="1" l="1"/>
  <c r="H43" i="1"/>
  <c r="I43" i="1" s="1"/>
  <c r="O45" i="1" l="1"/>
  <c r="H44" i="1"/>
  <c r="I44" i="1" s="1"/>
  <c r="O46" i="1" l="1"/>
  <c r="H45" i="1"/>
  <c r="I45" i="1" s="1"/>
  <c r="O47" i="1" l="1"/>
  <c r="H46" i="1"/>
  <c r="I46" i="1" s="1"/>
  <c r="O48" i="1" l="1"/>
  <c r="H47" i="1"/>
  <c r="I47" i="1" s="1"/>
  <c r="O49" i="1" l="1"/>
  <c r="H48" i="1"/>
  <c r="I48" i="1" s="1"/>
  <c r="O50" i="1" l="1"/>
  <c r="H49" i="1"/>
  <c r="I49" i="1" s="1"/>
  <c r="O51" i="1" l="1"/>
  <c r="H50" i="1"/>
  <c r="I50" i="1" s="1"/>
  <c r="O52" i="1" l="1"/>
  <c r="H51" i="1"/>
  <c r="I51" i="1" s="1"/>
  <c r="O53" i="1" l="1"/>
  <c r="H52" i="1"/>
  <c r="I52" i="1" s="1"/>
  <c r="O54" i="1" l="1"/>
  <c r="H53" i="1"/>
  <c r="I53" i="1" s="1"/>
  <c r="O55" i="1" l="1"/>
  <c r="H54" i="1"/>
  <c r="I54" i="1" s="1"/>
  <c r="O56" i="1" l="1"/>
  <c r="H55" i="1"/>
  <c r="I55" i="1" s="1"/>
  <c r="O57" i="1" l="1"/>
  <c r="H56" i="1"/>
  <c r="I56" i="1" s="1"/>
  <c r="I57" i="1" l="1"/>
  <c r="H57" i="1"/>
  <c r="O58" i="1"/>
  <c r="H58" i="1" l="1"/>
  <c r="I58" i="1" s="1"/>
  <c r="O59" i="1"/>
  <c r="I59" i="1" l="1"/>
  <c r="H59" i="1"/>
  <c r="O60" i="1"/>
  <c r="H60" i="1" l="1"/>
  <c r="I60" i="1" s="1"/>
  <c r="O61" i="1"/>
  <c r="H61" i="1" l="1"/>
  <c r="I61" i="1" s="1"/>
  <c r="O62" i="1"/>
  <c r="H62" i="1" l="1"/>
  <c r="I62" i="1" s="1"/>
  <c r="O63" i="1"/>
  <c r="H63" i="1" l="1"/>
  <c r="I63" i="1" s="1"/>
  <c r="O64" i="1"/>
  <c r="I64" i="1" l="1"/>
  <c r="H64" i="1"/>
  <c r="O65" i="1"/>
  <c r="H65" i="1" l="1"/>
  <c r="I65" i="1" s="1"/>
  <c r="O66" i="1"/>
  <c r="I66" i="1" l="1"/>
  <c r="H66" i="1"/>
  <c r="O67" i="1"/>
  <c r="H67" i="1" l="1"/>
  <c r="I67" i="1" s="1"/>
  <c r="O68" i="1"/>
  <c r="O69" i="1" l="1"/>
  <c r="H68" i="1"/>
  <c r="I68" i="1" s="1"/>
  <c r="I69" i="1" l="1"/>
  <c r="H69" i="1"/>
  <c r="O70" i="1"/>
  <c r="H70" i="1" l="1"/>
  <c r="I70" i="1" s="1"/>
  <c r="O71" i="1"/>
  <c r="H71" i="1" l="1"/>
  <c r="I71" i="1" s="1"/>
  <c r="I72" i="1" s="1"/>
  <c r="O72" i="1"/>
  <c r="H72" i="1" s="1"/>
</calcChain>
</file>

<file path=xl/sharedStrings.xml><?xml version="1.0" encoding="utf-8"?>
<sst xmlns="http://schemas.openxmlformats.org/spreadsheetml/2006/main" count="67" uniqueCount="48">
  <si>
    <t>GROWER  :</t>
  </si>
  <si>
    <t>DOUBLE B</t>
  </si>
  <si>
    <t>SHED</t>
  </si>
  <si>
    <t>3 &amp; 4</t>
  </si>
  <si>
    <t>NO. OF BIRDS</t>
  </si>
  <si>
    <t xml:space="preserve">STR ALL.          </t>
  </si>
  <si>
    <t>KG.</t>
  </si>
  <si>
    <t xml:space="preserve">PLACEMENT </t>
  </si>
  <si>
    <t>GWR ALL.</t>
  </si>
  <si>
    <t>SHED 3</t>
  </si>
  <si>
    <t>FIN ALL.</t>
  </si>
  <si>
    <t>WDW ALL C 10</t>
  </si>
  <si>
    <t>SHED 4</t>
  </si>
  <si>
    <t>WDW ALL.</t>
  </si>
  <si>
    <t>OVERALL</t>
  </si>
  <si>
    <t>% WGHT</t>
  </si>
  <si>
    <t>TOTAL</t>
  </si>
  <si>
    <t>FEED</t>
  </si>
  <si>
    <t>MIXED</t>
  </si>
  <si>
    <t>AGE</t>
  </si>
  <si>
    <t>DAY</t>
  </si>
  <si>
    <t>DATE</t>
  </si>
  <si>
    <t xml:space="preserve">FEED </t>
  </si>
  <si>
    <t>SILO</t>
  </si>
  <si>
    <t>SILOST</t>
  </si>
  <si>
    <t>CATCH</t>
  </si>
  <si>
    <t>BIRDS</t>
  </si>
  <si>
    <t>DIFF</t>
  </si>
  <si>
    <t>DISCREPANCY</t>
  </si>
  <si>
    <t>SHED 1</t>
  </si>
  <si>
    <t>Weight(Kg)</t>
  </si>
  <si>
    <t>SHED 2</t>
  </si>
  <si>
    <t>DEL.</t>
  </si>
  <si>
    <t>ORDERED</t>
  </si>
  <si>
    <t>ALLOC.</t>
  </si>
  <si>
    <t>USAGE</t>
  </si>
  <si>
    <t>ON HAND</t>
  </si>
  <si>
    <t>A</t>
  </si>
  <si>
    <t>B</t>
  </si>
  <si>
    <t>C</t>
  </si>
  <si>
    <t>MORTS</t>
  </si>
  <si>
    <t>LEFT</t>
  </si>
  <si>
    <t>#</t>
  </si>
  <si>
    <t>a</t>
  </si>
  <si>
    <t>Total Morts</t>
  </si>
  <si>
    <t>Total Birds Caught</t>
  </si>
  <si>
    <t xml:space="preserve">Total Feed Ordered </t>
  </si>
  <si>
    <t>KG/BIRD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</si>
</sst>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F800]dddd\,\ 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8"/>
      <color indexed="17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b/>
      <sz val="18"/>
      <color rgb="FF7030A0"/>
      <name val="Arial"/>
      <family val="2"/>
    </font>
    <font>
      <b/>
      <sz val="18"/>
      <color rgb="FF00B0F0"/>
      <name val="Arial"/>
      <family val="2"/>
    </font>
    <font>
      <b/>
      <sz val="18"/>
      <color indexed="10"/>
      <name val="Arial"/>
      <family val="2"/>
    </font>
    <font>
      <b/>
      <sz val="18"/>
      <color theme="1"/>
      <name val="Arial"/>
      <family val="2"/>
    </font>
    <font>
      <b/>
      <sz val="18"/>
      <color indexed="12"/>
      <name val="Arial"/>
      <family val="2"/>
    </font>
    <font>
      <b/>
      <sz val="18"/>
      <color indexed="14"/>
      <name val="Arial"/>
      <family val="2"/>
    </font>
    <font>
      <b/>
      <sz val="18"/>
      <color rgb="FF002060"/>
      <name val="Arial"/>
      <family val="2"/>
    </font>
    <font>
      <sz val="1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E6FF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/>
    <xf numFmtId="0" fontId="6" fillId="0" borderId="1" xfId="0" applyFont="1" applyBorder="1"/>
    <xf numFmtId="1" fontId="2" fillId="0" borderId="2" xfId="0" applyNumberFormat="1" applyFont="1" applyBorder="1"/>
    <xf numFmtId="14" fontId="2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" fontId="8" fillId="5" borderId="2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/>
    </xf>
    <xf numFmtId="0" fontId="9" fillId="0" borderId="1" xfId="0" applyFont="1" applyBorder="1"/>
    <xf numFmtId="1" fontId="2" fillId="0" borderId="1" xfId="0" applyNumberFormat="1" applyFont="1" applyBorder="1"/>
    <xf numFmtId="16" fontId="2" fillId="0" borderId="1" xfId="0" applyNumberFormat="1" applyFont="1" applyBorder="1" applyAlignment="1">
      <alignment horizontal="center"/>
    </xf>
    <xf numFmtId="0" fontId="10" fillId="0" borderId="1" xfId="0" applyFont="1" applyBorder="1"/>
    <xf numFmtId="1" fontId="4" fillId="2" borderId="1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1" fontId="2" fillId="6" borderId="2" xfId="0" applyNumberFormat="1" applyFont="1" applyFill="1" applyBorder="1" applyAlignment="1">
      <alignment horizontal="center"/>
    </xf>
    <xf numFmtId="1" fontId="4" fillId="6" borderId="5" xfId="0" applyNumberFormat="1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4" fontId="2" fillId="6" borderId="5" xfId="0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1" fontId="8" fillId="6" borderId="5" xfId="0" applyNumberFormat="1" applyFont="1" applyFill="1" applyBorder="1" applyAlignment="1">
      <alignment horizont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" fontId="2" fillId="0" borderId="7" xfId="0" applyNumberFormat="1" applyFont="1" applyBorder="1"/>
    <xf numFmtId="1" fontId="2" fillId="0" borderId="8" xfId="0" applyNumberFormat="1" applyFont="1" applyBorder="1"/>
    <xf numFmtId="0" fontId="2" fillId="0" borderId="7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5" fillId="0" borderId="7" xfId="0" applyFont="1" applyBorder="1" applyAlignment="1">
      <alignment horizontal="fill"/>
    </xf>
    <xf numFmtId="0" fontId="2" fillId="0" borderId="7" xfId="0" applyFont="1" applyBorder="1" applyAlignment="1">
      <alignment horizontal="fill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fill"/>
    </xf>
    <xf numFmtId="1" fontId="2" fillId="0" borderId="1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/>
    <xf numFmtId="16" fontId="2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9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/>
    <xf numFmtId="164" fontId="5" fillId="0" borderId="1" xfId="0" applyNumberFormat="1" applyFont="1" applyBorder="1"/>
    <xf numFmtId="2" fontId="5" fillId="0" borderId="1" xfId="0" applyNumberFormat="1" applyFont="1" applyBorder="1"/>
    <xf numFmtId="165" fontId="5" fillId="0" borderId="1" xfId="0" applyNumberFormat="1" applyFont="1" applyBorder="1"/>
    <xf numFmtId="0" fontId="2" fillId="8" borderId="1" xfId="0" applyFont="1" applyFill="1" applyBorder="1"/>
    <xf numFmtId="16" fontId="2" fillId="8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" fontId="6" fillId="8" borderId="1" xfId="0" applyNumberFormat="1" applyFont="1" applyFill="1" applyBorder="1" applyAlignment="1">
      <alignment horizontal="center"/>
    </xf>
    <xf numFmtId="1" fontId="2" fillId="8" borderId="1" xfId="0" applyNumberFormat="1" applyFont="1" applyFill="1" applyBorder="1"/>
    <xf numFmtId="0" fontId="2" fillId="8" borderId="2" xfId="0" applyFont="1" applyFill="1" applyBorder="1"/>
    <xf numFmtId="0" fontId="6" fillId="8" borderId="13" xfId="0" applyFont="1" applyFill="1" applyBorder="1"/>
    <xf numFmtId="0" fontId="6" fillId="8" borderId="1" xfId="0" applyFont="1" applyFill="1" applyBorder="1"/>
    <xf numFmtId="0" fontId="6" fillId="8" borderId="14" xfId="0" applyFont="1" applyFill="1" applyBorder="1"/>
    <xf numFmtId="1" fontId="2" fillId="8" borderId="2" xfId="0" applyNumberFormat="1" applyFont="1" applyFill="1" applyBorder="1"/>
    <xf numFmtId="10" fontId="2" fillId="8" borderId="1" xfId="1" applyNumberFormat="1" applyFont="1" applyFill="1" applyBorder="1" applyAlignment="1">
      <alignment horizontal="center" vertical="center" wrapText="1"/>
    </xf>
    <xf numFmtId="164" fontId="2" fillId="8" borderId="1" xfId="1" applyNumberFormat="1" applyFont="1" applyFill="1" applyBorder="1" applyAlignment="1">
      <alignment horizontal="center" vertical="center" wrapText="1"/>
    </xf>
    <xf numFmtId="166" fontId="2" fillId="8" borderId="2" xfId="0" applyNumberFormat="1" applyFont="1" applyFill="1" applyBorder="1" applyAlignment="1">
      <alignment horizontal="center"/>
    </xf>
    <xf numFmtId="166" fontId="2" fillId="8" borderId="4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" fontId="6" fillId="8" borderId="4" xfId="0" applyNumberFormat="1" applyFont="1" applyFill="1" applyBorder="1" applyAlignment="1">
      <alignment horizontal="center"/>
    </xf>
    <xf numFmtId="1" fontId="2" fillId="9" borderId="1" xfId="0" applyNumberFormat="1" applyFont="1" applyFill="1" applyBorder="1"/>
    <xf numFmtId="1" fontId="4" fillId="8" borderId="1" xfId="0" applyNumberFormat="1" applyFont="1" applyFill="1" applyBorder="1"/>
    <xf numFmtId="0" fontId="7" fillId="8" borderId="1" xfId="0" applyFont="1" applyFill="1" applyBorder="1" applyAlignment="1">
      <alignment horizontal="center"/>
    </xf>
    <xf numFmtId="1" fontId="2" fillId="8" borderId="4" xfId="0" applyNumberFormat="1" applyFont="1" applyFill="1" applyBorder="1"/>
    <xf numFmtId="0" fontId="4" fillId="8" borderId="1" xfId="0" applyFont="1" applyFill="1" applyBorder="1"/>
    <xf numFmtId="0" fontId="2" fillId="8" borderId="14" xfId="0" applyFont="1" applyFill="1" applyBorder="1"/>
    <xf numFmtId="0" fontId="7" fillId="8" borderId="1" xfId="0" applyFont="1" applyFill="1" applyBorder="1"/>
    <xf numFmtId="1" fontId="7" fillId="8" borderId="4" xfId="0" applyNumberFormat="1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7" fillId="8" borderId="13" xfId="0" applyFont="1" applyFill="1" applyBorder="1"/>
    <xf numFmtId="0" fontId="7" fillId="8" borderId="14" xfId="0" applyFont="1" applyFill="1" applyBorder="1"/>
    <xf numFmtId="0" fontId="7" fillId="8" borderId="13" xfId="0" applyFont="1" applyFill="1" applyBorder="1" applyAlignment="1">
      <alignment horizontal="right"/>
    </xf>
    <xf numFmtId="0" fontId="2" fillId="8" borderId="13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8" borderId="14" xfId="0" applyFont="1" applyFill="1" applyBorder="1"/>
    <xf numFmtId="1" fontId="4" fillId="8" borderId="4" xfId="0" applyNumberFormat="1" applyFont="1" applyFill="1" applyBorder="1" applyAlignment="1">
      <alignment horizontal="center"/>
    </xf>
    <xf numFmtId="0" fontId="5" fillId="8" borderId="1" xfId="0" applyFont="1" applyFill="1" applyBorder="1"/>
    <xf numFmtId="0" fontId="7" fillId="8" borderId="1" xfId="0" applyFont="1" applyFill="1" applyBorder="1" applyAlignment="1">
      <alignment horizontal="right"/>
    </xf>
    <xf numFmtId="1" fontId="8" fillId="8" borderId="1" xfId="0" applyNumberFormat="1" applyFont="1" applyFill="1" applyBorder="1" applyAlignment="1">
      <alignment horizontal="center"/>
    </xf>
    <xf numFmtId="164" fontId="5" fillId="8" borderId="1" xfId="1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right"/>
    </xf>
    <xf numFmtId="1" fontId="4" fillId="8" borderId="15" xfId="0" applyNumberFormat="1" applyFont="1" applyFill="1" applyBorder="1"/>
    <xf numFmtId="1" fontId="4" fillId="8" borderId="1" xfId="0" applyNumberFormat="1" applyFont="1" applyFill="1" applyBorder="1" applyAlignment="1">
      <alignment horizontal="center"/>
    </xf>
    <xf numFmtId="0" fontId="4" fillId="8" borderId="14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right"/>
    </xf>
    <xf numFmtId="1" fontId="2" fillId="8" borderId="4" xfId="0" applyNumberFormat="1" applyFont="1" applyFill="1" applyBorder="1" applyAlignment="1">
      <alignment horizontal="center"/>
    </xf>
    <xf numFmtId="1" fontId="4" fillId="8" borderId="2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3" fillId="0" borderId="1" xfId="0" applyFont="1" applyBorder="1"/>
    <xf numFmtId="0" fontId="9" fillId="8" borderId="2" xfId="0" applyFont="1" applyFill="1" applyBorder="1" applyAlignment="1">
      <alignment horizontal="center"/>
    </xf>
    <xf numFmtId="1" fontId="9" fillId="8" borderId="1" xfId="0" applyNumberFormat="1" applyFont="1" applyFill="1" applyBorder="1"/>
    <xf numFmtId="1" fontId="9" fillId="9" borderId="1" xfId="0" applyNumberFormat="1" applyFont="1" applyFill="1" applyBorder="1"/>
    <xf numFmtId="0" fontId="4" fillId="8" borderId="14" xfId="0" applyFont="1" applyFill="1" applyBorder="1" applyAlignment="1">
      <alignment horizontal="center"/>
    </xf>
    <xf numFmtId="1" fontId="4" fillId="8" borderId="2" xfId="0" applyNumberFormat="1" applyFont="1" applyFill="1" applyBorder="1"/>
    <xf numFmtId="164" fontId="2" fillId="8" borderId="1" xfId="0" applyNumberFormat="1" applyFont="1" applyFill="1" applyBorder="1" applyAlignment="1">
      <alignment horizontal="center" vertical="center" wrapText="1"/>
    </xf>
    <xf numFmtId="1" fontId="2" fillId="8" borderId="2" xfId="0" applyNumberFormat="1" applyFont="1" applyFill="1" applyBorder="1" applyAlignment="1">
      <alignment horizontal="center"/>
    </xf>
    <xf numFmtId="0" fontId="2" fillId="8" borderId="13" xfId="0" applyFont="1" applyFill="1" applyBorder="1"/>
    <xf numFmtId="0" fontId="2" fillId="8" borderId="16" xfId="0" applyFont="1" applyFill="1" applyBorder="1"/>
    <xf numFmtId="0" fontId="2" fillId="8" borderId="7" xfId="0" applyFont="1" applyFill="1" applyBorder="1"/>
    <xf numFmtId="0" fontId="2" fillId="8" borderId="17" xfId="0" applyFont="1" applyFill="1" applyBorder="1"/>
    <xf numFmtId="166" fontId="2" fillId="8" borderId="6" xfId="0" applyNumberFormat="1" applyFont="1" applyFill="1" applyBorder="1" applyAlignment="1">
      <alignment horizontal="center"/>
    </xf>
    <xf numFmtId="166" fontId="2" fillId="8" borderId="18" xfId="0" applyNumberFormat="1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1" fontId="2" fillId="8" borderId="5" xfId="0" applyNumberFormat="1" applyFont="1" applyFill="1" applyBorder="1"/>
    <xf numFmtId="1" fontId="2" fillId="9" borderId="5" xfId="0" applyNumberFormat="1" applyFont="1" applyFill="1" applyBorder="1"/>
    <xf numFmtId="0" fontId="2" fillId="8" borderId="6" xfId="0" applyFont="1" applyFill="1" applyBorder="1"/>
    <xf numFmtId="0" fontId="2" fillId="8" borderId="19" xfId="0" applyFont="1" applyFill="1" applyBorder="1"/>
    <xf numFmtId="0" fontId="2" fillId="8" borderId="5" xfId="0" applyFont="1" applyFill="1" applyBorder="1"/>
    <xf numFmtId="0" fontId="2" fillId="8" borderId="20" xfId="0" applyFont="1" applyFill="1" applyBorder="1"/>
    <xf numFmtId="0" fontId="4" fillId="8" borderId="5" xfId="0" applyFont="1" applyFill="1" applyBorder="1" applyAlignment="1">
      <alignment horizontal="right"/>
    </xf>
    <xf numFmtId="1" fontId="2" fillId="8" borderId="6" xfId="0" applyNumberFormat="1" applyFont="1" applyFill="1" applyBorder="1"/>
    <xf numFmtId="1" fontId="2" fillId="8" borderId="7" xfId="0" applyNumberFormat="1" applyFont="1" applyFill="1" applyBorder="1"/>
    <xf numFmtId="166" fontId="2" fillId="0" borderId="8" xfId="0" applyNumberFormat="1" applyFont="1" applyBorder="1"/>
    <xf numFmtId="166" fontId="2" fillId="0" borderId="7" xfId="0" applyNumberFormat="1" applyFont="1" applyBorder="1"/>
    <xf numFmtId="0" fontId="2" fillId="0" borderId="7" xfId="0" applyFont="1" applyBorder="1"/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0" fontId="2" fillId="0" borderId="1" xfId="1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/>
    <xf numFmtId="166" fontId="2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2" xfId="0" applyFont="1" applyBorder="1"/>
  </cellXfs>
  <cellStyles count="2">
    <cellStyle name="Normal" xfId="0" builtinId="0"/>
    <cellStyle name="Per cent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854c020b0909200/Desktop/feed%20program%20batch%20120.xlsx" TargetMode="External"/><Relationship Id="rId1" Type="http://schemas.openxmlformats.org/officeDocument/2006/relationships/externalLinkPath" Target="https://d.docs.live.net/d854c020b0909200/Desktop/feed%20program%20batch%201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mption Guide"/>
      <sheetName val="shed 1 &amp; 2"/>
      <sheetName val="SHED  3 &amp; 4 "/>
      <sheetName val="SHED  5 &amp; 6"/>
      <sheetName val="SHED 7 &amp; 8"/>
      <sheetName val="SHED 9 &amp; 10"/>
      <sheetName val="SHED 11 &amp; 12"/>
      <sheetName val="end of batch"/>
    </sheetNames>
    <sheetDataSet>
      <sheetData sheetId="0">
        <row r="8">
          <cell r="G8">
            <v>22</v>
          </cell>
        </row>
        <row r="9">
          <cell r="G9">
            <v>24</v>
          </cell>
        </row>
        <row r="10">
          <cell r="G10">
            <v>26</v>
          </cell>
        </row>
        <row r="11">
          <cell r="G11">
            <v>28</v>
          </cell>
        </row>
        <row r="12">
          <cell r="G12">
            <v>30</v>
          </cell>
        </row>
        <row r="13">
          <cell r="G13">
            <v>32</v>
          </cell>
        </row>
        <row r="14">
          <cell r="G14">
            <v>34</v>
          </cell>
        </row>
        <row r="15">
          <cell r="G15">
            <v>36</v>
          </cell>
        </row>
        <row r="16">
          <cell r="G16">
            <v>40</v>
          </cell>
        </row>
        <row r="17">
          <cell r="G17">
            <v>45</v>
          </cell>
        </row>
        <row r="18">
          <cell r="G18">
            <v>50</v>
          </cell>
        </row>
        <row r="19">
          <cell r="G19">
            <v>55</v>
          </cell>
        </row>
        <row r="20">
          <cell r="G20">
            <v>60</v>
          </cell>
        </row>
        <row r="21">
          <cell r="G21">
            <v>65</v>
          </cell>
        </row>
        <row r="22">
          <cell r="G22">
            <v>74</v>
          </cell>
        </row>
        <row r="23">
          <cell r="G23">
            <v>75</v>
          </cell>
        </row>
        <row r="24">
          <cell r="G24">
            <v>80</v>
          </cell>
        </row>
        <row r="25">
          <cell r="G25">
            <v>87</v>
          </cell>
        </row>
        <row r="26">
          <cell r="G26">
            <v>93</v>
          </cell>
        </row>
        <row r="27">
          <cell r="G27">
            <v>97</v>
          </cell>
        </row>
        <row r="28">
          <cell r="G28">
            <v>103</v>
          </cell>
        </row>
        <row r="29">
          <cell r="G29">
            <v>107</v>
          </cell>
        </row>
        <row r="30">
          <cell r="G30">
            <v>113</v>
          </cell>
        </row>
        <row r="31">
          <cell r="G31">
            <v>118</v>
          </cell>
        </row>
        <row r="32">
          <cell r="G32">
            <v>122</v>
          </cell>
        </row>
        <row r="33">
          <cell r="G33">
            <v>128</v>
          </cell>
        </row>
        <row r="34">
          <cell r="G34">
            <v>134</v>
          </cell>
        </row>
        <row r="35">
          <cell r="G35">
            <v>139</v>
          </cell>
        </row>
        <row r="36">
          <cell r="G36">
            <v>140</v>
          </cell>
        </row>
        <row r="37">
          <cell r="G37">
            <v>142</v>
          </cell>
        </row>
        <row r="38">
          <cell r="G38">
            <v>149</v>
          </cell>
        </row>
        <row r="39">
          <cell r="G39">
            <v>153</v>
          </cell>
        </row>
        <row r="40">
          <cell r="G40">
            <v>158</v>
          </cell>
        </row>
        <row r="41">
          <cell r="G41">
            <v>163</v>
          </cell>
        </row>
        <row r="42">
          <cell r="G42">
            <v>165</v>
          </cell>
        </row>
        <row r="43">
          <cell r="G43">
            <v>168</v>
          </cell>
        </row>
        <row r="44">
          <cell r="G44">
            <v>171</v>
          </cell>
        </row>
        <row r="45">
          <cell r="G45">
            <v>174</v>
          </cell>
        </row>
        <row r="46">
          <cell r="G46">
            <v>176</v>
          </cell>
        </row>
        <row r="47">
          <cell r="G47">
            <v>178</v>
          </cell>
        </row>
        <row r="48">
          <cell r="G48">
            <v>180</v>
          </cell>
        </row>
        <row r="49">
          <cell r="G49">
            <v>181</v>
          </cell>
        </row>
        <row r="50">
          <cell r="G50">
            <v>188</v>
          </cell>
        </row>
        <row r="51">
          <cell r="G51">
            <v>190</v>
          </cell>
        </row>
        <row r="52">
          <cell r="G52">
            <v>192</v>
          </cell>
        </row>
        <row r="53">
          <cell r="G53">
            <v>193</v>
          </cell>
        </row>
        <row r="54">
          <cell r="G54">
            <v>194</v>
          </cell>
        </row>
        <row r="55">
          <cell r="G55">
            <v>195</v>
          </cell>
        </row>
        <row r="56">
          <cell r="G56">
            <v>196</v>
          </cell>
        </row>
        <row r="57">
          <cell r="G57">
            <v>197</v>
          </cell>
        </row>
        <row r="58">
          <cell r="G58">
            <v>197</v>
          </cell>
        </row>
        <row r="59">
          <cell r="G59">
            <v>197</v>
          </cell>
        </row>
        <row r="60">
          <cell r="G60">
            <v>198</v>
          </cell>
        </row>
        <row r="61">
          <cell r="G61">
            <v>197</v>
          </cell>
        </row>
        <row r="62">
          <cell r="G62">
            <v>198</v>
          </cell>
        </row>
        <row r="63">
          <cell r="G63">
            <v>197</v>
          </cell>
        </row>
        <row r="64">
          <cell r="G64">
            <v>195</v>
          </cell>
        </row>
        <row r="65">
          <cell r="G65">
            <v>195</v>
          </cell>
        </row>
        <row r="66">
          <cell r="G66">
            <v>195</v>
          </cell>
        </row>
        <row r="67">
          <cell r="G67">
            <v>195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7302-42D1-4ABE-8D6A-CD7AE6DE7AF9}">
  <dimension ref="A1:AN78"/>
  <sheetViews>
    <sheetView tabSelected="1" workbookViewId="0">
      <selection activeCell="C6" sqref="C6"/>
    </sheetView>
  </sheetViews>
  <sheetFormatPr defaultColWidth="14.7109375" defaultRowHeight="23.25" x14ac:dyDescent="0.35"/>
  <cols>
    <col min="1" max="1" width="5.5703125" style="10" customWidth="1"/>
    <col min="2" max="2" width="16.5703125" style="10" customWidth="1"/>
    <col min="3" max="3" width="38.42578125" style="10" customWidth="1"/>
    <col min="4" max="4" width="14.5703125" style="48" customWidth="1"/>
    <col min="5" max="5" width="17.7109375" style="48" customWidth="1"/>
    <col min="6" max="6" width="10.140625" style="48" customWidth="1"/>
    <col min="7" max="7" width="14.5703125" style="48" customWidth="1"/>
    <col min="8" max="8" width="14.5703125" style="10" customWidth="1"/>
    <col min="9" max="9" width="14.28515625" style="10" customWidth="1"/>
    <col min="10" max="10" width="12.42578125" style="10" customWidth="1"/>
    <col min="11" max="11" width="11.5703125" style="10" customWidth="1"/>
    <col min="12" max="12" width="12.140625" style="10" customWidth="1"/>
    <col min="13" max="13" width="11.42578125" style="10" customWidth="1"/>
    <col min="14" max="14" width="16.140625" style="10" customWidth="1"/>
    <col min="15" max="15" width="11" style="10" customWidth="1"/>
    <col min="16" max="16" width="8.42578125" style="181" customWidth="1"/>
    <col min="17" max="17" width="9.42578125" style="10" bestFit="1" customWidth="1"/>
    <col min="18" max="18" width="17" style="10" customWidth="1"/>
    <col min="19" max="19" width="15.42578125" style="9" bestFit="1" customWidth="1"/>
    <col min="20" max="20" width="12.7109375" style="8" customWidth="1"/>
    <col min="21" max="21" width="15.42578125" style="9" bestFit="1" customWidth="1"/>
    <col min="22" max="22" width="12.5703125" style="8" customWidth="1"/>
    <col min="23" max="23" width="11.5703125" style="9" customWidth="1"/>
    <col min="24" max="16384" width="14.7109375" style="10"/>
  </cols>
  <sheetData>
    <row r="1" spans="1:40" x14ac:dyDescent="0.35">
      <c r="A1" s="1" t="s">
        <v>0</v>
      </c>
      <c r="B1" s="1"/>
      <c r="C1" s="2" t="s">
        <v>1</v>
      </c>
      <c r="D1" s="3"/>
      <c r="E1" s="3" t="s">
        <v>2</v>
      </c>
      <c r="F1" s="3"/>
      <c r="G1" s="4" t="s">
        <v>3</v>
      </c>
      <c r="H1" s="3"/>
      <c r="I1" s="3"/>
      <c r="J1" s="1"/>
      <c r="K1" s="1"/>
      <c r="L1" s="1"/>
      <c r="M1" s="1"/>
      <c r="N1" s="1"/>
      <c r="O1" s="1"/>
      <c r="P1" s="5"/>
      <c r="Q1" s="1"/>
      <c r="R1" s="1"/>
      <c r="S1" s="6"/>
      <c r="T1" s="7"/>
      <c r="U1" s="6"/>
    </row>
    <row r="2" spans="1:40" ht="21.2" customHeight="1" x14ac:dyDescent="0.35">
      <c r="A2" s="1" t="s">
        <v>4</v>
      </c>
      <c r="B2" s="1"/>
      <c r="C2" s="3">
        <v>80000</v>
      </c>
      <c r="D2" s="3"/>
      <c r="E2" s="3"/>
      <c r="F2" s="3"/>
      <c r="G2" s="11" t="s">
        <v>5</v>
      </c>
      <c r="H2" s="12">
        <f>(C2*0.325)</f>
        <v>26000</v>
      </c>
      <c r="I2" s="13" t="s">
        <v>6</v>
      </c>
      <c r="J2" s="1"/>
      <c r="K2" s="1"/>
      <c r="L2" s="1"/>
      <c r="M2" s="1"/>
      <c r="N2" s="1"/>
      <c r="O2" s="1"/>
      <c r="P2" s="14"/>
      <c r="Q2" s="1"/>
      <c r="R2" s="14"/>
      <c r="S2" s="6"/>
      <c r="T2" s="7"/>
      <c r="U2" s="6"/>
    </row>
    <row r="3" spans="1:40" ht="22.15" customHeight="1" x14ac:dyDescent="0.35">
      <c r="A3" s="1" t="s">
        <v>7</v>
      </c>
      <c r="B3" s="1"/>
      <c r="C3" s="15"/>
      <c r="D3" s="3"/>
      <c r="E3" s="3"/>
      <c r="F3" s="3"/>
      <c r="G3" s="16" t="s">
        <v>8</v>
      </c>
      <c r="H3" s="17">
        <f>(C2*1.15)</f>
        <v>92000</v>
      </c>
      <c r="I3" s="17" t="s">
        <v>6</v>
      </c>
      <c r="J3" s="18"/>
      <c r="K3" s="19"/>
      <c r="L3" s="19"/>
      <c r="M3" s="20"/>
      <c r="N3" s="21" t="s">
        <v>9</v>
      </c>
      <c r="O3" s="1"/>
      <c r="P3" s="14"/>
      <c r="Q3" s="1"/>
      <c r="R3" s="14"/>
      <c r="S3" s="6"/>
      <c r="T3" s="7"/>
      <c r="U3" s="6"/>
    </row>
    <row r="4" spans="1:40" ht="19.899999999999999" customHeight="1" x14ac:dyDescent="0.35">
      <c r="A4" s="1"/>
      <c r="B4" s="21" t="s">
        <v>9</v>
      </c>
      <c r="C4" s="22"/>
      <c r="D4" s="23"/>
      <c r="E4" s="3"/>
      <c r="F4" s="3"/>
      <c r="G4" s="24" t="s">
        <v>10</v>
      </c>
      <c r="H4" s="25">
        <f>(C2*1.7)</f>
        <v>136000</v>
      </c>
      <c r="I4" s="25" t="s">
        <v>6</v>
      </c>
      <c r="J4" s="26" t="s">
        <v>11</v>
      </c>
      <c r="K4" s="27"/>
      <c r="L4" s="27"/>
      <c r="M4" s="28"/>
      <c r="N4" s="21" t="s">
        <v>12</v>
      </c>
      <c r="O4" s="1"/>
      <c r="P4" s="14"/>
      <c r="Q4" s="1"/>
      <c r="R4" s="1"/>
      <c r="S4" s="6"/>
      <c r="T4" s="7"/>
      <c r="U4" s="6"/>
    </row>
    <row r="5" spans="1:40" ht="19.149999999999999" customHeight="1" x14ac:dyDescent="0.35">
      <c r="A5" s="1"/>
      <c r="B5" s="21" t="s">
        <v>12</v>
      </c>
      <c r="C5" s="22"/>
      <c r="D5" s="23"/>
      <c r="E5" s="3"/>
      <c r="F5" s="3"/>
      <c r="G5" s="3" t="s">
        <v>13</v>
      </c>
      <c r="H5" s="1">
        <f>C2*1.5</f>
        <v>120000</v>
      </c>
      <c r="I5" s="29" t="s">
        <v>6</v>
      </c>
      <c r="J5" s="1"/>
      <c r="K5" s="1"/>
      <c r="L5" s="1"/>
      <c r="M5" s="1"/>
      <c r="N5" s="30"/>
      <c r="O5" s="30"/>
      <c r="P5" s="14"/>
      <c r="Q5" s="30"/>
      <c r="R5" s="14"/>
      <c r="S5" s="6"/>
      <c r="T5" s="7"/>
      <c r="U5" s="6"/>
    </row>
    <row r="6" spans="1:40" ht="44.45" customHeight="1" x14ac:dyDescent="0.35">
      <c r="A6" s="1"/>
      <c r="B6" s="1"/>
      <c r="C6" s="31"/>
      <c r="D6" s="23"/>
      <c r="E6" s="3"/>
      <c r="F6" s="3"/>
      <c r="G6" s="3"/>
      <c r="H6" s="1"/>
      <c r="I6" s="32"/>
      <c r="J6" s="1"/>
      <c r="K6" s="1"/>
      <c r="L6" s="1"/>
      <c r="M6" s="1"/>
      <c r="N6" s="30"/>
      <c r="O6" s="30"/>
      <c r="P6" s="14"/>
      <c r="Q6" s="33"/>
      <c r="R6" s="34" t="s">
        <v>14</v>
      </c>
      <c r="S6" s="35" t="s">
        <v>15</v>
      </c>
      <c r="T6" s="36"/>
      <c r="U6" s="35" t="s">
        <v>15</v>
      </c>
      <c r="V6" s="36"/>
    </row>
    <row r="7" spans="1:40" x14ac:dyDescent="0.35">
      <c r="A7" s="1"/>
      <c r="B7" s="1"/>
      <c r="C7" s="1"/>
      <c r="D7" s="3" t="s">
        <v>16</v>
      </c>
      <c r="E7" s="3"/>
      <c r="F7" s="3"/>
      <c r="G7" s="3"/>
      <c r="H7" s="1"/>
      <c r="I7" s="1"/>
      <c r="J7" s="1"/>
      <c r="K7" s="3"/>
      <c r="L7" s="3"/>
      <c r="M7" s="3"/>
      <c r="N7" s="30"/>
      <c r="O7" s="30"/>
      <c r="P7" s="14"/>
      <c r="Q7" s="37" t="s">
        <v>17</v>
      </c>
      <c r="R7" s="34" t="s">
        <v>17</v>
      </c>
      <c r="S7" s="35" t="s">
        <v>18</v>
      </c>
      <c r="T7" s="36"/>
      <c r="U7" s="38" t="s">
        <v>18</v>
      </c>
      <c r="V7" s="36"/>
    </row>
    <row r="8" spans="1:40" s="48" customFormat="1" ht="47.25" thickBot="1" x14ac:dyDescent="0.4">
      <c r="A8" s="39" t="s">
        <v>19</v>
      </c>
      <c r="B8" s="39" t="s">
        <v>20</v>
      </c>
      <c r="C8" s="39" t="s">
        <v>21</v>
      </c>
      <c r="D8" s="39" t="s">
        <v>17</v>
      </c>
      <c r="E8" s="39" t="s">
        <v>22</v>
      </c>
      <c r="F8" s="39"/>
      <c r="G8" s="39" t="s">
        <v>17</v>
      </c>
      <c r="H8" s="39" t="s">
        <v>17</v>
      </c>
      <c r="I8" s="39" t="s">
        <v>17</v>
      </c>
      <c r="J8" s="39" t="s">
        <v>23</v>
      </c>
      <c r="K8" s="40" t="s">
        <v>24</v>
      </c>
      <c r="L8" s="40" t="s">
        <v>23</v>
      </c>
      <c r="M8" s="40" t="s">
        <v>23</v>
      </c>
      <c r="N8" s="39" t="s">
        <v>25</v>
      </c>
      <c r="O8" s="39" t="s">
        <v>26</v>
      </c>
      <c r="P8" s="41" t="s">
        <v>2</v>
      </c>
      <c r="Q8" s="42" t="s">
        <v>27</v>
      </c>
      <c r="R8" s="43" t="s">
        <v>28</v>
      </c>
      <c r="S8" s="44" t="s">
        <v>29</v>
      </c>
      <c r="T8" s="45" t="s">
        <v>30</v>
      </c>
      <c r="U8" s="46" t="s">
        <v>31</v>
      </c>
      <c r="V8" s="45" t="s">
        <v>30</v>
      </c>
      <c r="W8" s="9"/>
      <c r="X8" s="47"/>
      <c r="AA8" s="47"/>
      <c r="AB8" s="49"/>
      <c r="AD8" s="47"/>
      <c r="AE8" s="49"/>
      <c r="AF8" s="50"/>
      <c r="AG8" s="47"/>
      <c r="AH8" s="50"/>
      <c r="AI8" s="47"/>
      <c r="AJ8" s="50"/>
      <c r="AK8" s="50"/>
      <c r="AL8" s="50"/>
    </row>
    <row r="9" spans="1:40" s="65" customFormat="1" ht="21.2" customHeight="1" thickBot="1" x14ac:dyDescent="0.4">
      <c r="A9" s="51"/>
      <c r="B9" s="52"/>
      <c r="C9" s="53">
        <v>43297</v>
      </c>
      <c r="D9" s="52" t="s">
        <v>32</v>
      </c>
      <c r="E9" s="52" t="s">
        <v>33</v>
      </c>
      <c r="F9" s="52" t="s">
        <v>23</v>
      </c>
      <c r="G9" s="52" t="s">
        <v>34</v>
      </c>
      <c r="H9" s="52" t="s">
        <v>35</v>
      </c>
      <c r="I9" s="52" t="s">
        <v>36</v>
      </c>
      <c r="J9" s="52" t="s">
        <v>16</v>
      </c>
      <c r="K9" s="54" t="s">
        <v>37</v>
      </c>
      <c r="L9" s="52" t="s">
        <v>38</v>
      </c>
      <c r="M9" s="52" t="s">
        <v>39</v>
      </c>
      <c r="N9" s="55" t="s">
        <v>40</v>
      </c>
      <c r="O9" s="56" t="s">
        <v>41</v>
      </c>
      <c r="P9" s="57" t="s">
        <v>42</v>
      </c>
      <c r="Q9" s="58"/>
      <c r="R9" s="59"/>
      <c r="S9" s="60"/>
      <c r="T9" s="61"/>
      <c r="U9" s="60"/>
      <c r="V9" s="62"/>
      <c r="W9" s="63" t="s">
        <v>19</v>
      </c>
      <c r="X9" s="64"/>
      <c r="AA9" s="64"/>
      <c r="AB9" s="66"/>
      <c r="AD9" s="64"/>
      <c r="AE9" s="66"/>
      <c r="AF9" s="67"/>
      <c r="AG9" s="64"/>
      <c r="AH9" s="67"/>
      <c r="AI9" s="64"/>
      <c r="AJ9" s="67"/>
      <c r="AK9" s="67"/>
      <c r="AL9" s="67"/>
    </row>
    <row r="10" spans="1:40" s="75" customFormat="1" ht="15" hidden="1" customHeight="1" x14ac:dyDescent="0.35">
      <c r="A10" s="68"/>
      <c r="B10" s="69"/>
      <c r="C10" s="69"/>
      <c r="D10" s="70"/>
      <c r="E10" s="70"/>
      <c r="F10" s="70"/>
      <c r="G10" s="70"/>
      <c r="H10" s="69"/>
      <c r="I10" s="69"/>
      <c r="J10" s="69"/>
      <c r="K10" s="71"/>
      <c r="L10" s="71"/>
      <c r="M10" s="71"/>
      <c r="N10" s="58"/>
      <c r="O10" s="58"/>
      <c r="P10" s="59"/>
      <c r="Q10" s="30"/>
      <c r="R10" s="14"/>
      <c r="S10" s="72"/>
      <c r="T10" s="7"/>
      <c r="U10" s="72"/>
      <c r="V10" s="73"/>
      <c r="W10" s="74"/>
    </row>
    <row r="11" spans="1:40" x14ac:dyDescent="0.35">
      <c r="B11" s="1"/>
      <c r="C11" s="76"/>
      <c r="D11" s="3"/>
      <c r="E11" s="77"/>
      <c r="F11" s="77"/>
      <c r="G11" s="77"/>
      <c r="H11" s="1"/>
      <c r="I11" s="30"/>
      <c r="J11" s="5"/>
      <c r="K11" s="78"/>
      <c r="L11" s="79"/>
      <c r="M11" s="80"/>
      <c r="N11" s="30"/>
      <c r="O11" s="30"/>
      <c r="P11" s="14"/>
      <c r="Q11" s="30"/>
      <c r="R11" s="14"/>
      <c r="S11" s="81"/>
      <c r="T11" s="82"/>
      <c r="U11" s="81"/>
      <c r="V11" s="83"/>
      <c r="W11" s="84"/>
      <c r="X11" s="85"/>
      <c r="Y11" s="86"/>
      <c r="Z11" s="86"/>
      <c r="AA11" s="85"/>
      <c r="AB11" s="86"/>
      <c r="AC11" s="86"/>
      <c r="AD11" s="85"/>
      <c r="AE11" s="86"/>
      <c r="AF11" s="87"/>
      <c r="AG11" s="85"/>
      <c r="AH11" s="87"/>
      <c r="AI11" s="85"/>
      <c r="AJ11" s="87"/>
      <c r="AK11" s="85"/>
      <c r="AL11" s="88"/>
      <c r="AM11" s="87"/>
      <c r="AN11" s="87"/>
    </row>
    <row r="12" spans="1:40" x14ac:dyDescent="0.35">
      <c r="B12" s="89"/>
      <c r="C12" s="90"/>
      <c r="D12" s="91"/>
      <c r="E12" s="92"/>
      <c r="F12" s="92"/>
      <c r="G12" s="93">
        <f>H2</f>
        <v>26000</v>
      </c>
      <c r="H12" s="89">
        <v>0</v>
      </c>
      <c r="I12" s="94">
        <f t="shared" ref="I12:I72" si="0">IF((J12&gt;0),(J12-H12+E12),(I11-H12+E12))</f>
        <v>0</v>
      </c>
      <c r="J12" s="95">
        <f>(K12+M12+L12)</f>
        <v>0</v>
      </c>
      <c r="K12" s="96"/>
      <c r="L12" s="97"/>
      <c r="M12" s="98"/>
      <c r="N12" s="94"/>
      <c r="O12" s="94"/>
      <c r="P12" s="99"/>
      <c r="Q12" s="94"/>
      <c r="R12" s="99"/>
      <c r="S12" s="100"/>
      <c r="T12" s="101"/>
      <c r="U12" s="100"/>
      <c r="V12" s="83"/>
      <c r="W12" s="84"/>
      <c r="X12" s="85"/>
      <c r="Y12" s="86"/>
      <c r="Z12" s="86"/>
      <c r="AA12" s="85"/>
      <c r="AB12" s="86"/>
      <c r="AC12" s="86"/>
      <c r="AD12" s="85"/>
      <c r="AE12" s="86"/>
      <c r="AF12" s="87"/>
      <c r="AG12" s="85"/>
      <c r="AH12" s="87"/>
      <c r="AI12" s="85"/>
      <c r="AJ12" s="87"/>
      <c r="AK12" s="85"/>
      <c r="AL12" s="88"/>
      <c r="AM12" s="87"/>
      <c r="AN12" s="87"/>
    </row>
    <row r="13" spans="1:40" x14ac:dyDescent="0.35">
      <c r="A13" s="10">
        <v>1</v>
      </c>
      <c r="B13" s="102">
        <f>C3</f>
        <v>0</v>
      </c>
      <c r="C13" s="103"/>
      <c r="D13" s="104">
        <f>E13</f>
        <v>0</v>
      </c>
      <c r="E13" s="92"/>
      <c r="F13" s="92" t="s">
        <v>43</v>
      </c>
      <c r="G13" s="105">
        <f t="shared" ref="G13:G21" si="1">G12-E13</f>
        <v>26000</v>
      </c>
      <c r="H13" s="94">
        <f>('[1]Consumption Guide'!G8*O13)/1000</f>
        <v>1760</v>
      </c>
      <c r="I13" s="106">
        <f t="shared" si="0"/>
        <v>-1760</v>
      </c>
      <c r="J13" s="95">
        <f>(K13+M13+L13)</f>
        <v>0</v>
      </c>
      <c r="K13" s="96"/>
      <c r="L13" s="97"/>
      <c r="M13" s="98"/>
      <c r="N13" s="107"/>
      <c r="O13" s="94">
        <f>SUM(C2-N13)</f>
        <v>80000</v>
      </c>
      <c r="P13" s="99"/>
      <c r="Q13" s="94"/>
      <c r="R13" s="99"/>
      <c r="S13" s="100"/>
      <c r="T13" s="101"/>
      <c r="U13" s="100"/>
      <c r="V13" s="83"/>
      <c r="W13" s="84"/>
      <c r="X13" s="85"/>
      <c r="Y13" s="86"/>
      <c r="Z13" s="86"/>
      <c r="AA13" s="85"/>
      <c r="AB13" s="86"/>
      <c r="AC13" s="86"/>
      <c r="AD13" s="85"/>
      <c r="AE13" s="86"/>
      <c r="AF13" s="87"/>
      <c r="AG13" s="85"/>
      <c r="AH13" s="87"/>
      <c r="AI13" s="85"/>
      <c r="AJ13" s="87"/>
      <c r="AK13" s="85"/>
      <c r="AL13" s="88"/>
      <c r="AM13" s="87"/>
      <c r="AN13" s="87"/>
    </row>
    <row r="14" spans="1:40" x14ac:dyDescent="0.35">
      <c r="A14" s="10">
        <f>A13+1</f>
        <v>2</v>
      </c>
      <c r="B14" s="102">
        <f>B13+1</f>
        <v>1</v>
      </c>
      <c r="C14" s="103"/>
      <c r="D14" s="104">
        <f t="shared" ref="D14:D72" si="2">D13+E14</f>
        <v>0</v>
      </c>
      <c r="E14" s="108"/>
      <c r="F14" s="92"/>
      <c r="G14" s="105">
        <f t="shared" si="1"/>
        <v>26000</v>
      </c>
      <c r="H14" s="94">
        <f>('[1]Consumption Guide'!G9*O14)/1000</f>
        <v>1920</v>
      </c>
      <c r="I14" s="106">
        <f t="shared" si="0"/>
        <v>-3680</v>
      </c>
      <c r="J14" s="95">
        <f>(K14+M14+L14)</f>
        <v>0</v>
      </c>
      <c r="K14" s="96"/>
      <c r="L14" s="97"/>
      <c r="M14" s="98"/>
      <c r="N14" s="107"/>
      <c r="O14" s="94">
        <f t="shared" ref="O14:O72" si="3">SUM(O13-N14)</f>
        <v>80000</v>
      </c>
      <c r="P14" s="99"/>
      <c r="Q14" s="94"/>
      <c r="R14" s="99">
        <f>Q14+R13</f>
        <v>0</v>
      </c>
      <c r="S14" s="100"/>
      <c r="T14" s="101"/>
      <c r="U14" s="100"/>
      <c r="V14" s="83"/>
      <c r="W14" s="84"/>
      <c r="X14" s="85"/>
      <c r="Y14" s="86"/>
      <c r="Z14" s="86"/>
      <c r="AA14" s="85"/>
      <c r="AB14" s="86"/>
      <c r="AC14" s="86"/>
      <c r="AD14" s="85"/>
      <c r="AE14" s="86"/>
      <c r="AF14" s="87"/>
      <c r="AG14" s="85"/>
      <c r="AH14" s="87"/>
      <c r="AI14" s="85"/>
      <c r="AJ14" s="87"/>
      <c r="AK14" s="85"/>
      <c r="AL14" s="88"/>
      <c r="AM14" s="87"/>
      <c r="AN14" s="87"/>
    </row>
    <row r="15" spans="1:40" x14ac:dyDescent="0.35">
      <c r="A15" s="10">
        <f t="shared" ref="A15:B30" si="4">A14+1</f>
        <v>3</v>
      </c>
      <c r="B15" s="102">
        <f t="shared" si="4"/>
        <v>2</v>
      </c>
      <c r="C15" s="103"/>
      <c r="D15" s="104">
        <f t="shared" si="2"/>
        <v>0</v>
      </c>
      <c r="E15" s="108"/>
      <c r="F15" s="108"/>
      <c r="G15" s="105">
        <f t="shared" si="1"/>
        <v>26000</v>
      </c>
      <c r="H15" s="94">
        <f>('[1]Consumption Guide'!G10*O15)/1000</f>
        <v>2080</v>
      </c>
      <c r="I15" s="106">
        <f t="shared" si="0"/>
        <v>-5760</v>
      </c>
      <c r="J15" s="95">
        <f t="shared" ref="J15:J72" si="5">(K15+M15+L15)</f>
        <v>0</v>
      </c>
      <c r="K15" s="96"/>
      <c r="L15" s="97"/>
      <c r="M15" s="98"/>
      <c r="N15" s="107"/>
      <c r="O15" s="109">
        <f t="shared" si="3"/>
        <v>80000</v>
      </c>
      <c r="P15" s="99"/>
      <c r="Q15" s="94"/>
      <c r="R15" s="99">
        <f t="shared" ref="R15:R72" si="6">Q15+R14</f>
        <v>0</v>
      </c>
      <c r="S15" s="100"/>
      <c r="T15" s="101"/>
      <c r="U15" s="100"/>
      <c r="V15" s="83"/>
      <c r="W15" s="84"/>
      <c r="X15" s="85"/>
      <c r="Y15" s="86"/>
      <c r="Z15" s="86"/>
      <c r="AA15" s="85"/>
      <c r="AB15" s="86"/>
      <c r="AC15" s="86"/>
      <c r="AD15" s="85"/>
      <c r="AE15" s="86"/>
      <c r="AF15" s="87"/>
      <c r="AG15" s="85"/>
      <c r="AH15" s="87"/>
      <c r="AI15" s="85"/>
      <c r="AJ15" s="87"/>
      <c r="AK15" s="85"/>
      <c r="AL15" s="88"/>
      <c r="AM15" s="87"/>
      <c r="AN15" s="87"/>
    </row>
    <row r="16" spans="1:40" x14ac:dyDescent="0.35">
      <c r="A16" s="10">
        <f t="shared" si="4"/>
        <v>4</v>
      </c>
      <c r="B16" s="102">
        <f t="shared" si="4"/>
        <v>3</v>
      </c>
      <c r="C16" s="103"/>
      <c r="D16" s="104">
        <f t="shared" si="2"/>
        <v>0</v>
      </c>
      <c r="E16" s="108"/>
      <c r="F16" s="108"/>
      <c r="G16" s="105">
        <f t="shared" si="1"/>
        <v>26000</v>
      </c>
      <c r="H16" s="94">
        <f>('[1]Consumption Guide'!G11*O16)/1000</f>
        <v>2240</v>
      </c>
      <c r="I16" s="106">
        <f t="shared" si="0"/>
        <v>-8000</v>
      </c>
      <c r="J16" s="95">
        <f t="shared" si="5"/>
        <v>0</v>
      </c>
      <c r="K16" s="96"/>
      <c r="L16" s="110"/>
      <c r="M16" s="111"/>
      <c r="N16" s="107"/>
      <c r="O16" s="109">
        <f t="shared" si="3"/>
        <v>80000</v>
      </c>
      <c r="P16" s="99"/>
      <c r="Q16" s="94"/>
      <c r="R16" s="99">
        <f t="shared" si="6"/>
        <v>0</v>
      </c>
      <c r="S16" s="100"/>
      <c r="T16" s="101"/>
      <c r="U16" s="100"/>
      <c r="V16" s="83"/>
      <c r="W16" s="84"/>
    </row>
    <row r="17" spans="1:40" ht="20.25" customHeight="1" x14ac:dyDescent="0.35">
      <c r="A17" s="10">
        <f t="shared" si="4"/>
        <v>5</v>
      </c>
      <c r="B17" s="102">
        <f t="shared" si="4"/>
        <v>4</v>
      </c>
      <c r="C17" s="103"/>
      <c r="D17" s="104">
        <f t="shared" si="2"/>
        <v>0</v>
      </c>
      <c r="E17" s="108"/>
      <c r="F17" s="108"/>
      <c r="G17" s="105">
        <f t="shared" si="1"/>
        <v>26000</v>
      </c>
      <c r="H17" s="94">
        <f>('[1]Consumption Guide'!G12*O17)/1000</f>
        <v>2400</v>
      </c>
      <c r="I17" s="106">
        <f t="shared" si="0"/>
        <v>-10400</v>
      </c>
      <c r="J17" s="95">
        <f t="shared" si="5"/>
        <v>0</v>
      </c>
      <c r="K17" s="96"/>
      <c r="L17" s="97"/>
      <c r="M17" s="111"/>
      <c r="N17" s="107"/>
      <c r="O17" s="109">
        <f t="shared" si="3"/>
        <v>80000</v>
      </c>
      <c r="P17" s="99"/>
      <c r="Q17" s="94"/>
      <c r="R17" s="99">
        <f>Q17+R16</f>
        <v>0</v>
      </c>
      <c r="S17" s="100"/>
      <c r="T17" s="101"/>
      <c r="U17" s="100"/>
      <c r="V17" s="83"/>
      <c r="W17" s="84"/>
    </row>
    <row r="18" spans="1:40" x14ac:dyDescent="0.35">
      <c r="A18" s="10">
        <f t="shared" si="4"/>
        <v>6</v>
      </c>
      <c r="B18" s="102">
        <f t="shared" si="4"/>
        <v>5</v>
      </c>
      <c r="C18" s="103"/>
      <c r="D18" s="104">
        <f t="shared" si="2"/>
        <v>0</v>
      </c>
      <c r="E18" s="108"/>
      <c r="F18" s="108"/>
      <c r="G18" s="105">
        <f t="shared" si="1"/>
        <v>26000</v>
      </c>
      <c r="H18" s="94">
        <f>('[1]Consumption Guide'!G13*O18)/1000</f>
        <v>2560</v>
      </c>
      <c r="I18" s="106">
        <f t="shared" si="0"/>
        <v>-12960</v>
      </c>
      <c r="J18" s="95">
        <f t="shared" si="5"/>
        <v>0</v>
      </c>
      <c r="K18" s="96"/>
      <c r="L18" s="112"/>
      <c r="M18" s="111"/>
      <c r="N18" s="107"/>
      <c r="O18" s="109">
        <f t="shared" si="3"/>
        <v>80000</v>
      </c>
      <c r="P18" s="99"/>
      <c r="Q18" s="94"/>
      <c r="R18" s="99">
        <f t="shared" si="6"/>
        <v>0</v>
      </c>
      <c r="S18" s="100"/>
      <c r="T18" s="101"/>
      <c r="U18" s="100"/>
      <c r="V18" s="83"/>
      <c r="W18" s="84"/>
    </row>
    <row r="19" spans="1:40" x14ac:dyDescent="0.35">
      <c r="A19" s="10">
        <f t="shared" si="4"/>
        <v>7</v>
      </c>
      <c r="B19" s="102">
        <f t="shared" si="4"/>
        <v>6</v>
      </c>
      <c r="C19" s="103"/>
      <c r="D19" s="104">
        <f t="shared" si="2"/>
        <v>0</v>
      </c>
      <c r="E19" s="108"/>
      <c r="F19" s="108"/>
      <c r="G19" s="105">
        <f t="shared" si="1"/>
        <v>26000</v>
      </c>
      <c r="H19" s="94">
        <f>('[1]Consumption Guide'!G14*O19)/1000</f>
        <v>2720</v>
      </c>
      <c r="I19" s="106">
        <f t="shared" si="0"/>
        <v>-15680</v>
      </c>
      <c r="J19" s="95">
        <f t="shared" si="5"/>
        <v>0</v>
      </c>
      <c r="K19" s="96"/>
      <c r="L19" s="112"/>
      <c r="M19" s="111"/>
      <c r="N19" s="107"/>
      <c r="O19" s="109">
        <f t="shared" si="3"/>
        <v>80000</v>
      </c>
      <c r="P19" s="99"/>
      <c r="Q19" s="94"/>
      <c r="R19" s="99">
        <f t="shared" si="6"/>
        <v>0</v>
      </c>
      <c r="S19" s="100"/>
      <c r="T19" s="101"/>
      <c r="U19" s="100"/>
      <c r="V19" s="83"/>
      <c r="W19" s="84"/>
    </row>
    <row r="20" spans="1:40" x14ac:dyDescent="0.35">
      <c r="A20" s="10">
        <v>8</v>
      </c>
      <c r="B20" s="102">
        <f t="shared" si="4"/>
        <v>7</v>
      </c>
      <c r="C20" s="103"/>
      <c r="D20" s="104">
        <f t="shared" si="2"/>
        <v>0</v>
      </c>
      <c r="E20" s="108"/>
      <c r="F20" s="108"/>
      <c r="G20" s="105">
        <f t="shared" si="1"/>
        <v>26000</v>
      </c>
      <c r="H20" s="94">
        <f>('[1]Consumption Guide'!G15*O20)/1000</f>
        <v>2880</v>
      </c>
      <c r="I20" s="106">
        <f t="shared" si="0"/>
        <v>-18560</v>
      </c>
      <c r="J20" s="95">
        <f t="shared" si="5"/>
        <v>0</v>
      </c>
      <c r="K20" s="96"/>
      <c r="L20" s="112"/>
      <c r="M20" s="111"/>
      <c r="N20" s="107"/>
      <c r="O20" s="109">
        <f t="shared" si="3"/>
        <v>80000</v>
      </c>
      <c r="P20" s="99"/>
      <c r="Q20" s="94"/>
      <c r="R20" s="99">
        <f t="shared" si="6"/>
        <v>0</v>
      </c>
      <c r="S20" s="100"/>
      <c r="T20" s="101"/>
      <c r="U20" s="100"/>
      <c r="V20" s="83"/>
      <c r="W20" s="84"/>
    </row>
    <row r="21" spans="1:40" x14ac:dyDescent="0.35">
      <c r="A21" s="10">
        <f t="shared" si="4"/>
        <v>9</v>
      </c>
      <c r="B21" s="102">
        <f t="shared" si="4"/>
        <v>8</v>
      </c>
      <c r="C21" s="103"/>
      <c r="D21" s="104">
        <f t="shared" si="2"/>
        <v>0</v>
      </c>
      <c r="E21" s="108"/>
      <c r="F21" s="108"/>
      <c r="G21" s="105">
        <f t="shared" si="1"/>
        <v>26000</v>
      </c>
      <c r="H21" s="94">
        <f>('[1]Consumption Guide'!G16*O21)/1000</f>
        <v>3200</v>
      </c>
      <c r="I21" s="106">
        <f t="shared" si="0"/>
        <v>-21760</v>
      </c>
      <c r="J21" s="95">
        <f t="shared" si="5"/>
        <v>0</v>
      </c>
      <c r="K21" s="96"/>
      <c r="L21" s="112"/>
      <c r="M21" s="111"/>
      <c r="N21" s="107"/>
      <c r="O21" s="109">
        <f t="shared" si="3"/>
        <v>80000</v>
      </c>
      <c r="P21" s="99"/>
      <c r="Q21" s="94"/>
      <c r="R21" s="99">
        <f t="shared" si="6"/>
        <v>0</v>
      </c>
      <c r="S21" s="100"/>
      <c r="T21" s="101"/>
      <c r="U21" s="100"/>
      <c r="V21" s="83"/>
      <c r="W21" s="84"/>
    </row>
    <row r="22" spans="1:40" x14ac:dyDescent="0.35">
      <c r="A22" s="10">
        <f t="shared" si="4"/>
        <v>10</v>
      </c>
      <c r="B22" s="102">
        <f t="shared" si="4"/>
        <v>9</v>
      </c>
      <c r="C22" s="103"/>
      <c r="D22" s="104">
        <f t="shared" si="2"/>
        <v>0</v>
      </c>
      <c r="E22" s="108"/>
      <c r="F22" s="108"/>
      <c r="G22" s="113">
        <v>96480</v>
      </c>
      <c r="H22" s="94">
        <f>('[1]Consumption Guide'!G17*O22)/1000</f>
        <v>3600</v>
      </c>
      <c r="I22" s="106">
        <f t="shared" si="0"/>
        <v>-25360</v>
      </c>
      <c r="J22" s="95">
        <f t="shared" si="5"/>
        <v>0</v>
      </c>
      <c r="K22" s="96"/>
      <c r="L22" s="89"/>
      <c r="M22" s="114"/>
      <c r="N22" s="107"/>
      <c r="O22" s="109">
        <f t="shared" si="3"/>
        <v>80000</v>
      </c>
      <c r="P22" s="99"/>
      <c r="Q22" s="94"/>
      <c r="R22" s="99">
        <f t="shared" si="6"/>
        <v>0</v>
      </c>
      <c r="S22" s="100"/>
      <c r="T22" s="101"/>
      <c r="U22" s="100"/>
      <c r="V22" s="83"/>
      <c r="W22" s="84"/>
      <c r="X22" s="85"/>
      <c r="Y22" s="86"/>
      <c r="Z22" s="86"/>
      <c r="AA22" s="85"/>
      <c r="AB22" s="86"/>
      <c r="AC22" s="86"/>
      <c r="AD22" s="85"/>
      <c r="AE22" s="86"/>
      <c r="AF22" s="87"/>
      <c r="AG22" s="85"/>
      <c r="AH22" s="87"/>
      <c r="AI22" s="85"/>
      <c r="AJ22" s="87"/>
      <c r="AK22" s="85"/>
      <c r="AL22" s="88"/>
      <c r="AM22" s="87"/>
      <c r="AN22" s="87"/>
    </row>
    <row r="23" spans="1:40" x14ac:dyDescent="0.35">
      <c r="A23" s="10">
        <f t="shared" si="4"/>
        <v>11</v>
      </c>
      <c r="B23" s="102">
        <f t="shared" si="4"/>
        <v>10</v>
      </c>
      <c r="C23" s="103"/>
      <c r="D23" s="104">
        <f t="shared" si="2"/>
        <v>0</v>
      </c>
      <c r="E23" s="108"/>
      <c r="F23" s="108"/>
      <c r="G23" s="113">
        <f>H3-E23</f>
        <v>92000</v>
      </c>
      <c r="H23" s="94">
        <f>('[1]Consumption Guide'!G18*O23)/1000</f>
        <v>4000</v>
      </c>
      <c r="I23" s="106">
        <f t="shared" si="0"/>
        <v>-29360</v>
      </c>
      <c r="J23" s="95">
        <f t="shared" si="5"/>
        <v>0</v>
      </c>
      <c r="K23" s="96"/>
      <c r="L23" s="89"/>
      <c r="M23" s="114"/>
      <c r="N23" s="107"/>
      <c r="O23" s="109">
        <f t="shared" si="3"/>
        <v>80000</v>
      </c>
      <c r="P23" s="99"/>
      <c r="Q23" s="94"/>
      <c r="R23" s="99">
        <f t="shared" si="6"/>
        <v>0</v>
      </c>
      <c r="S23" s="100"/>
      <c r="T23" s="101"/>
      <c r="U23" s="100"/>
      <c r="V23" s="83"/>
      <c r="W23" s="84"/>
    </row>
    <row r="24" spans="1:40" x14ac:dyDescent="0.35">
      <c r="A24" s="10">
        <f t="shared" si="4"/>
        <v>12</v>
      </c>
      <c r="B24" s="102">
        <f t="shared" si="4"/>
        <v>11</v>
      </c>
      <c r="C24" s="103"/>
      <c r="D24" s="104">
        <f t="shared" si="2"/>
        <v>0</v>
      </c>
      <c r="E24" s="108"/>
      <c r="F24" s="108"/>
      <c r="G24" s="113">
        <f t="shared" ref="G24:G36" si="7">G23-E24</f>
        <v>92000</v>
      </c>
      <c r="H24" s="94">
        <f>('[1]Consumption Guide'!G19*O24)/1000</f>
        <v>4400</v>
      </c>
      <c r="I24" s="106">
        <f t="shared" si="0"/>
        <v>-33760</v>
      </c>
      <c r="J24" s="95">
        <f t="shared" si="5"/>
        <v>0</v>
      </c>
      <c r="K24" s="96"/>
      <c r="L24" s="112"/>
      <c r="M24" s="115"/>
      <c r="N24" s="107"/>
      <c r="O24" s="109">
        <f t="shared" si="3"/>
        <v>80000</v>
      </c>
      <c r="P24" s="99"/>
      <c r="Q24" s="94"/>
      <c r="R24" s="99">
        <f t="shared" si="6"/>
        <v>0</v>
      </c>
      <c r="S24" s="100"/>
      <c r="T24" s="101"/>
      <c r="U24" s="100"/>
      <c r="V24" s="83"/>
      <c r="W24" s="84"/>
    </row>
    <row r="25" spans="1:40" x14ac:dyDescent="0.35">
      <c r="A25" s="10">
        <f t="shared" si="4"/>
        <v>13</v>
      </c>
      <c r="B25" s="102">
        <f t="shared" si="4"/>
        <v>12</v>
      </c>
      <c r="C25" s="103"/>
      <c r="D25" s="104">
        <f t="shared" si="2"/>
        <v>0</v>
      </c>
      <c r="E25" s="108"/>
      <c r="F25" s="108"/>
      <c r="G25" s="113">
        <f t="shared" si="7"/>
        <v>92000</v>
      </c>
      <c r="H25" s="94">
        <f>('[1]Consumption Guide'!G20*O25)/1000</f>
        <v>4800</v>
      </c>
      <c r="I25" s="106">
        <f t="shared" si="0"/>
        <v>-38560</v>
      </c>
      <c r="J25" s="95">
        <f t="shared" si="5"/>
        <v>0</v>
      </c>
      <c r="K25" s="116"/>
      <c r="L25" s="112"/>
      <c r="M25" s="115"/>
      <c r="N25" s="107"/>
      <c r="O25" s="109">
        <f t="shared" si="3"/>
        <v>80000</v>
      </c>
      <c r="P25" s="99"/>
      <c r="Q25" s="94"/>
      <c r="R25" s="99">
        <f t="shared" si="6"/>
        <v>0</v>
      </c>
      <c r="S25" s="100"/>
      <c r="T25" s="101"/>
      <c r="U25" s="100"/>
      <c r="V25" s="83"/>
      <c r="W25" s="84"/>
    </row>
    <row r="26" spans="1:40" x14ac:dyDescent="0.35">
      <c r="A26" s="10">
        <f t="shared" si="4"/>
        <v>14</v>
      </c>
      <c r="B26" s="102">
        <f t="shared" si="4"/>
        <v>13</v>
      </c>
      <c r="C26" s="103"/>
      <c r="D26" s="104">
        <f t="shared" si="2"/>
        <v>0</v>
      </c>
      <c r="E26" s="108"/>
      <c r="F26" s="108"/>
      <c r="G26" s="113">
        <f t="shared" si="7"/>
        <v>92000</v>
      </c>
      <c r="H26" s="94">
        <f>('[1]Consumption Guide'!G21*O26)/1000</f>
        <v>5200</v>
      </c>
      <c r="I26" s="106">
        <f t="shared" si="0"/>
        <v>-43760</v>
      </c>
      <c r="J26" s="95">
        <f t="shared" si="5"/>
        <v>0</v>
      </c>
      <c r="K26" s="116"/>
      <c r="L26" s="89"/>
      <c r="M26" s="117"/>
      <c r="N26" s="94"/>
      <c r="O26" s="109">
        <f t="shared" si="3"/>
        <v>80000</v>
      </c>
      <c r="P26" s="99"/>
      <c r="Q26" s="94"/>
      <c r="R26" s="99">
        <f t="shared" si="6"/>
        <v>0</v>
      </c>
      <c r="S26" s="100"/>
      <c r="T26" s="101"/>
      <c r="U26" s="100"/>
      <c r="V26" s="83"/>
      <c r="W26" s="84"/>
    </row>
    <row r="27" spans="1:40" x14ac:dyDescent="0.35">
      <c r="A27" s="10">
        <f t="shared" si="4"/>
        <v>15</v>
      </c>
      <c r="B27" s="102">
        <f t="shared" si="4"/>
        <v>14</v>
      </c>
      <c r="C27" s="103"/>
      <c r="D27" s="104">
        <f t="shared" si="2"/>
        <v>0</v>
      </c>
      <c r="E27" s="108"/>
      <c r="F27" s="108"/>
      <c r="G27" s="113">
        <f t="shared" si="7"/>
        <v>92000</v>
      </c>
      <c r="H27" s="94">
        <f>('[1]Consumption Guide'!G22*O27)/1000</f>
        <v>5920</v>
      </c>
      <c r="I27" s="106">
        <f t="shared" si="0"/>
        <v>-49680</v>
      </c>
      <c r="J27" s="95">
        <f t="shared" si="5"/>
        <v>0</v>
      </c>
      <c r="K27" s="118"/>
      <c r="L27" s="89"/>
      <c r="M27" s="117"/>
      <c r="N27" s="107"/>
      <c r="O27" s="109">
        <f t="shared" si="3"/>
        <v>80000</v>
      </c>
      <c r="P27" s="99"/>
      <c r="Q27" s="94"/>
      <c r="R27" s="99">
        <f t="shared" si="6"/>
        <v>0</v>
      </c>
      <c r="S27" s="100"/>
      <c r="T27" s="101"/>
      <c r="U27" s="100"/>
      <c r="V27" s="83"/>
      <c r="W27" s="84"/>
    </row>
    <row r="28" spans="1:40" x14ac:dyDescent="0.35">
      <c r="A28" s="10">
        <f t="shared" si="4"/>
        <v>16</v>
      </c>
      <c r="B28" s="102">
        <f t="shared" si="4"/>
        <v>15</v>
      </c>
      <c r="C28" s="103"/>
      <c r="D28" s="104">
        <f t="shared" si="2"/>
        <v>0</v>
      </c>
      <c r="E28" s="108"/>
      <c r="F28" s="108"/>
      <c r="G28" s="113">
        <f t="shared" si="7"/>
        <v>92000</v>
      </c>
      <c r="H28" s="94">
        <f>('[1]Consumption Guide'!G23*O28)/1000</f>
        <v>6000</v>
      </c>
      <c r="I28" s="106">
        <f t="shared" si="0"/>
        <v>-55680</v>
      </c>
      <c r="J28" s="95">
        <f t="shared" si="5"/>
        <v>0</v>
      </c>
      <c r="K28" s="118"/>
      <c r="L28" s="89"/>
      <c r="M28" s="117"/>
      <c r="N28" s="107"/>
      <c r="O28" s="109">
        <f t="shared" si="3"/>
        <v>80000</v>
      </c>
      <c r="P28" s="99"/>
      <c r="Q28" s="94"/>
      <c r="R28" s="99">
        <f t="shared" si="6"/>
        <v>0</v>
      </c>
      <c r="S28" s="100"/>
      <c r="T28" s="101"/>
      <c r="U28" s="100"/>
      <c r="V28" s="83"/>
      <c r="W28" s="84"/>
    </row>
    <row r="29" spans="1:40" x14ac:dyDescent="0.35">
      <c r="A29" s="10">
        <f t="shared" si="4"/>
        <v>17</v>
      </c>
      <c r="B29" s="102">
        <f t="shared" si="4"/>
        <v>16</v>
      </c>
      <c r="C29" s="103"/>
      <c r="D29" s="104">
        <f t="shared" si="2"/>
        <v>0</v>
      </c>
      <c r="E29" s="108"/>
      <c r="F29" s="108"/>
      <c r="G29" s="113">
        <f t="shared" si="7"/>
        <v>92000</v>
      </c>
      <c r="H29" s="94">
        <f>('[1]Consumption Guide'!G24*O29)/1000</f>
        <v>6400</v>
      </c>
      <c r="I29" s="106">
        <f t="shared" si="0"/>
        <v>-62080</v>
      </c>
      <c r="J29" s="95">
        <f t="shared" si="5"/>
        <v>0</v>
      </c>
      <c r="K29" s="119"/>
      <c r="L29" s="112"/>
      <c r="M29" s="111"/>
      <c r="N29" s="107"/>
      <c r="O29" s="109">
        <f t="shared" si="3"/>
        <v>80000</v>
      </c>
      <c r="P29" s="99"/>
      <c r="Q29" s="94"/>
      <c r="R29" s="99">
        <f t="shared" si="6"/>
        <v>0</v>
      </c>
      <c r="S29" s="100"/>
      <c r="T29" s="101"/>
      <c r="U29" s="100"/>
      <c r="V29" s="83"/>
      <c r="W29" s="84"/>
    </row>
    <row r="30" spans="1:40" x14ac:dyDescent="0.35">
      <c r="A30" s="10">
        <f t="shared" si="4"/>
        <v>18</v>
      </c>
      <c r="B30" s="102">
        <f t="shared" si="4"/>
        <v>17</v>
      </c>
      <c r="C30" s="103"/>
      <c r="D30" s="104">
        <f t="shared" si="2"/>
        <v>0</v>
      </c>
      <c r="E30" s="108"/>
      <c r="F30" s="108"/>
      <c r="G30" s="113">
        <f t="shared" si="7"/>
        <v>92000</v>
      </c>
      <c r="H30" s="94">
        <f>('[1]Consumption Guide'!G25*O30)/1000</f>
        <v>6960</v>
      </c>
      <c r="I30" s="106">
        <f t="shared" si="0"/>
        <v>-69040</v>
      </c>
      <c r="J30" s="95">
        <f>(K30+M30+L30)</f>
        <v>0</v>
      </c>
      <c r="K30" s="120"/>
      <c r="L30" s="89"/>
      <c r="M30" s="111"/>
      <c r="N30" s="107"/>
      <c r="O30" s="109">
        <f t="shared" si="3"/>
        <v>80000</v>
      </c>
      <c r="P30" s="99"/>
      <c r="Q30" s="94"/>
      <c r="R30" s="99">
        <f t="shared" si="6"/>
        <v>0</v>
      </c>
      <c r="S30" s="100"/>
      <c r="T30" s="101"/>
      <c r="U30" s="100"/>
      <c r="V30" s="83"/>
      <c r="W30" s="84"/>
    </row>
    <row r="31" spans="1:40" x14ac:dyDescent="0.35">
      <c r="A31" s="10">
        <f t="shared" ref="A31:B46" si="8">A30+1</f>
        <v>19</v>
      </c>
      <c r="B31" s="102">
        <f t="shared" si="8"/>
        <v>18</v>
      </c>
      <c r="C31" s="103"/>
      <c r="D31" s="104">
        <f t="shared" si="2"/>
        <v>0</v>
      </c>
      <c r="E31" s="108"/>
      <c r="F31" s="108"/>
      <c r="G31" s="113">
        <f t="shared" si="7"/>
        <v>92000</v>
      </c>
      <c r="H31" s="94">
        <f>('[1]Consumption Guide'!G26*O31)/1000</f>
        <v>7440</v>
      </c>
      <c r="I31" s="106">
        <f t="shared" si="0"/>
        <v>-76480</v>
      </c>
      <c r="J31" s="95">
        <f>(K31+M31+L31)</f>
        <v>0</v>
      </c>
      <c r="K31" s="120"/>
      <c r="L31" s="112"/>
      <c r="M31" s="117"/>
      <c r="N31" s="107"/>
      <c r="O31" s="109">
        <f t="shared" si="3"/>
        <v>80000</v>
      </c>
      <c r="P31" s="99"/>
      <c r="Q31" s="94"/>
      <c r="R31" s="99">
        <f t="shared" si="6"/>
        <v>0</v>
      </c>
      <c r="S31" s="100"/>
      <c r="T31" s="101"/>
      <c r="U31" s="100"/>
      <c r="V31" s="83"/>
      <c r="W31" s="84"/>
    </row>
    <row r="32" spans="1:40" x14ac:dyDescent="0.35">
      <c r="A32" s="10">
        <f t="shared" si="8"/>
        <v>20</v>
      </c>
      <c r="B32" s="102">
        <f t="shared" si="8"/>
        <v>19</v>
      </c>
      <c r="C32" s="103"/>
      <c r="D32" s="104">
        <f t="shared" si="2"/>
        <v>0</v>
      </c>
      <c r="E32" s="108"/>
      <c r="F32" s="121"/>
      <c r="G32" s="113">
        <f t="shared" si="7"/>
        <v>92000</v>
      </c>
      <c r="H32" s="94">
        <f>('[1]Consumption Guide'!G27*O32)/1000</f>
        <v>7760</v>
      </c>
      <c r="I32" s="106">
        <f t="shared" si="0"/>
        <v>-84240</v>
      </c>
      <c r="J32" s="95">
        <f>(K32+M32+L32)</f>
        <v>0</v>
      </c>
      <c r="K32" s="120"/>
      <c r="L32" s="112"/>
      <c r="M32" s="111"/>
      <c r="N32" s="107"/>
      <c r="O32" s="109">
        <f t="shared" si="3"/>
        <v>80000</v>
      </c>
      <c r="P32" s="99"/>
      <c r="Q32" s="94"/>
      <c r="R32" s="99">
        <f t="shared" si="6"/>
        <v>0</v>
      </c>
      <c r="S32" s="100"/>
      <c r="T32" s="101"/>
      <c r="U32" s="100"/>
      <c r="V32" s="83"/>
      <c r="W32" s="84"/>
    </row>
    <row r="33" spans="1:23" x14ac:dyDescent="0.35">
      <c r="A33" s="10">
        <f t="shared" si="8"/>
        <v>21</v>
      </c>
      <c r="B33" s="102">
        <f t="shared" si="8"/>
        <v>20</v>
      </c>
      <c r="C33" s="103"/>
      <c r="D33" s="104">
        <f t="shared" si="2"/>
        <v>0</v>
      </c>
      <c r="E33" s="108"/>
      <c r="F33" s="108"/>
      <c r="G33" s="113">
        <f t="shared" si="7"/>
        <v>92000</v>
      </c>
      <c r="H33" s="94">
        <f>('[1]Consumption Guide'!G28*O33)/1000</f>
        <v>8240</v>
      </c>
      <c r="I33" s="106">
        <f t="shared" si="0"/>
        <v>-92480</v>
      </c>
      <c r="J33" s="95">
        <f>(K33+M33+L33)</f>
        <v>0</v>
      </c>
      <c r="K33" s="120"/>
      <c r="L33" s="89"/>
      <c r="M33" s="117"/>
      <c r="N33" s="107"/>
      <c r="O33" s="109">
        <f t="shared" si="3"/>
        <v>80000</v>
      </c>
      <c r="P33" s="99"/>
      <c r="Q33" s="94"/>
      <c r="R33" s="99">
        <f t="shared" si="6"/>
        <v>0</v>
      </c>
      <c r="S33" s="100"/>
      <c r="T33" s="101"/>
      <c r="U33" s="100"/>
      <c r="V33" s="83"/>
      <c r="W33" s="84"/>
    </row>
    <row r="34" spans="1:23" x14ac:dyDescent="0.35">
      <c r="A34" s="10">
        <f t="shared" si="8"/>
        <v>22</v>
      </c>
      <c r="B34" s="102">
        <f t="shared" si="8"/>
        <v>21</v>
      </c>
      <c r="C34" s="103"/>
      <c r="D34" s="104">
        <f t="shared" si="2"/>
        <v>0</v>
      </c>
      <c r="E34" s="108"/>
      <c r="F34" s="121"/>
      <c r="G34" s="113">
        <f t="shared" si="7"/>
        <v>92000</v>
      </c>
      <c r="H34" s="94">
        <f>('[1]Consumption Guide'!G29*O34)/1000</f>
        <v>8560</v>
      </c>
      <c r="I34" s="106">
        <f t="shared" si="0"/>
        <v>-101040</v>
      </c>
      <c r="J34" s="95">
        <f>(K34+M34+L34)</f>
        <v>0</v>
      </c>
      <c r="K34" s="120"/>
      <c r="L34" s="89"/>
      <c r="M34" s="117"/>
      <c r="N34" s="107"/>
      <c r="O34" s="109">
        <f t="shared" si="3"/>
        <v>80000</v>
      </c>
      <c r="P34" s="99"/>
      <c r="Q34" s="94"/>
      <c r="R34" s="99">
        <f t="shared" si="6"/>
        <v>0</v>
      </c>
      <c r="S34" s="100"/>
      <c r="T34" s="101"/>
      <c r="U34" s="100"/>
      <c r="V34" s="83"/>
      <c r="W34" s="84"/>
    </row>
    <row r="35" spans="1:23" x14ac:dyDescent="0.35">
      <c r="A35" s="10">
        <f t="shared" si="8"/>
        <v>23</v>
      </c>
      <c r="B35" s="102">
        <f t="shared" si="8"/>
        <v>22</v>
      </c>
      <c r="C35" s="103"/>
      <c r="D35" s="104">
        <f t="shared" si="2"/>
        <v>0</v>
      </c>
      <c r="E35" s="108"/>
      <c r="F35" s="121"/>
      <c r="G35" s="113">
        <f t="shared" si="7"/>
        <v>92000</v>
      </c>
      <c r="H35" s="94">
        <f>('[1]Consumption Guide'!G30*O35)/1000</f>
        <v>9040</v>
      </c>
      <c r="I35" s="106">
        <f t="shared" si="0"/>
        <v>-110080</v>
      </c>
      <c r="J35" s="95">
        <f t="shared" si="5"/>
        <v>0</v>
      </c>
      <c r="K35" s="120"/>
      <c r="L35" s="89"/>
      <c r="M35" s="117"/>
      <c r="N35" s="107"/>
      <c r="O35" s="109">
        <f t="shared" si="3"/>
        <v>80000</v>
      </c>
      <c r="P35" s="99"/>
      <c r="Q35" s="94"/>
      <c r="R35" s="99">
        <f t="shared" si="6"/>
        <v>0</v>
      </c>
      <c r="S35" s="100"/>
      <c r="T35" s="101"/>
      <c r="U35" s="100"/>
      <c r="V35" s="83"/>
      <c r="W35" s="84"/>
    </row>
    <row r="36" spans="1:23" x14ac:dyDescent="0.35">
      <c r="A36" s="10">
        <f t="shared" si="8"/>
        <v>24</v>
      </c>
      <c r="B36" s="102">
        <f t="shared" si="8"/>
        <v>23</v>
      </c>
      <c r="C36" s="103"/>
      <c r="D36" s="104">
        <f t="shared" si="2"/>
        <v>0</v>
      </c>
      <c r="E36" s="121"/>
      <c r="F36" s="121"/>
      <c r="G36" s="113">
        <f t="shared" si="7"/>
        <v>92000</v>
      </c>
      <c r="H36" s="94">
        <f>('[1]Consumption Guide'!G31*O36)/1000</f>
        <v>9440</v>
      </c>
      <c r="I36" s="106">
        <f t="shared" si="0"/>
        <v>-119520</v>
      </c>
      <c r="J36" s="95">
        <f t="shared" si="5"/>
        <v>0</v>
      </c>
      <c r="K36" s="122"/>
      <c r="L36" s="89"/>
      <c r="M36" s="123"/>
      <c r="N36" s="107"/>
      <c r="O36" s="109">
        <f t="shared" si="3"/>
        <v>80000</v>
      </c>
      <c r="P36" s="99"/>
      <c r="Q36" s="94"/>
      <c r="R36" s="99">
        <f t="shared" si="6"/>
        <v>0</v>
      </c>
      <c r="S36" s="100"/>
      <c r="T36" s="101"/>
      <c r="U36" s="100"/>
      <c r="V36" s="83"/>
      <c r="W36" s="84"/>
    </row>
    <row r="37" spans="1:23" x14ac:dyDescent="0.35">
      <c r="A37" s="10">
        <f t="shared" si="8"/>
        <v>25</v>
      </c>
      <c r="B37" s="102">
        <f t="shared" si="8"/>
        <v>24</v>
      </c>
      <c r="C37" s="103"/>
      <c r="D37" s="104">
        <f t="shared" si="2"/>
        <v>0</v>
      </c>
      <c r="E37" s="121"/>
      <c r="F37" s="121"/>
      <c r="G37" s="124">
        <f>H4-E36</f>
        <v>136000</v>
      </c>
      <c r="H37" s="94">
        <f>('[1]Consumption Guide'!G32*O37)/1000</f>
        <v>9760</v>
      </c>
      <c r="I37" s="106">
        <f t="shared" si="0"/>
        <v>-129280</v>
      </c>
      <c r="J37" s="95">
        <f t="shared" si="5"/>
        <v>0</v>
      </c>
      <c r="K37" s="120"/>
      <c r="L37" s="89"/>
      <c r="M37" s="117"/>
      <c r="N37" s="107"/>
      <c r="O37" s="109">
        <f t="shared" si="3"/>
        <v>80000</v>
      </c>
      <c r="P37" s="99"/>
      <c r="Q37" s="94"/>
      <c r="R37" s="99">
        <f t="shared" si="6"/>
        <v>0</v>
      </c>
      <c r="S37" s="100"/>
      <c r="T37" s="101"/>
      <c r="U37" s="100"/>
      <c r="V37" s="83"/>
      <c r="W37" s="84"/>
    </row>
    <row r="38" spans="1:23" s="125" customFormat="1" x14ac:dyDescent="0.35">
      <c r="A38" s="125">
        <f t="shared" si="8"/>
        <v>26</v>
      </c>
      <c r="B38" s="102">
        <f t="shared" si="8"/>
        <v>25</v>
      </c>
      <c r="C38" s="103"/>
      <c r="D38" s="104">
        <f t="shared" si="2"/>
        <v>0</v>
      </c>
      <c r="E38" s="121"/>
      <c r="F38" s="121"/>
      <c r="G38" s="124">
        <f t="shared" ref="G38:G44" si="9">G37-E38</f>
        <v>136000</v>
      </c>
      <c r="H38" s="94">
        <f>('[1]Consumption Guide'!G33*O38)/1000</f>
        <v>10240</v>
      </c>
      <c r="I38" s="106">
        <f t="shared" si="0"/>
        <v>-139520</v>
      </c>
      <c r="J38" s="95">
        <f t="shared" si="5"/>
        <v>0</v>
      </c>
      <c r="K38" s="122"/>
      <c r="L38" s="126"/>
      <c r="M38" s="117"/>
      <c r="N38" s="127"/>
      <c r="O38" s="109">
        <f t="shared" si="3"/>
        <v>80000</v>
      </c>
      <c r="P38" s="99"/>
      <c r="Q38" s="94"/>
      <c r="R38" s="99">
        <f t="shared" si="6"/>
        <v>0</v>
      </c>
      <c r="S38" s="100"/>
      <c r="T38" s="101"/>
      <c r="U38" s="100"/>
      <c r="V38" s="128"/>
      <c r="W38" s="129"/>
    </row>
    <row r="39" spans="1:23" x14ac:dyDescent="0.35">
      <c r="A39" s="10">
        <f t="shared" si="8"/>
        <v>27</v>
      </c>
      <c r="B39" s="102">
        <f t="shared" si="8"/>
        <v>26</v>
      </c>
      <c r="C39" s="103"/>
      <c r="D39" s="104">
        <f t="shared" si="2"/>
        <v>0</v>
      </c>
      <c r="E39" s="121"/>
      <c r="F39" s="121"/>
      <c r="G39" s="124">
        <f t="shared" si="9"/>
        <v>136000</v>
      </c>
      <c r="H39" s="94">
        <f>('[1]Consumption Guide'!G34*O39)/1000</f>
        <v>10720</v>
      </c>
      <c r="I39" s="106">
        <f t="shared" si="0"/>
        <v>-150240</v>
      </c>
      <c r="J39" s="95">
        <f t="shared" si="5"/>
        <v>0</v>
      </c>
      <c r="K39" s="122"/>
      <c r="L39" s="130"/>
      <c r="M39" s="123"/>
      <c r="N39" s="107"/>
      <c r="O39" s="109">
        <f t="shared" si="3"/>
        <v>80000</v>
      </c>
      <c r="P39" s="99"/>
      <c r="Q39" s="94"/>
      <c r="R39" s="99">
        <f t="shared" si="6"/>
        <v>0</v>
      </c>
      <c r="S39" s="100"/>
      <c r="T39" s="101"/>
      <c r="U39" s="100"/>
      <c r="V39" s="83"/>
      <c r="W39" s="84"/>
    </row>
    <row r="40" spans="1:23" x14ac:dyDescent="0.35">
      <c r="A40" s="10">
        <f t="shared" si="8"/>
        <v>28</v>
      </c>
      <c r="B40" s="102">
        <f t="shared" si="8"/>
        <v>27</v>
      </c>
      <c r="C40" s="103"/>
      <c r="D40" s="104">
        <f t="shared" si="2"/>
        <v>0</v>
      </c>
      <c r="E40" s="121"/>
      <c r="F40" s="121"/>
      <c r="G40" s="124">
        <f t="shared" si="9"/>
        <v>136000</v>
      </c>
      <c r="H40" s="94">
        <f>('[1]Consumption Guide'!G35*O40)/1000</f>
        <v>11120</v>
      </c>
      <c r="I40" s="106">
        <f t="shared" si="0"/>
        <v>-161360</v>
      </c>
      <c r="J40" s="95">
        <f t="shared" si="5"/>
        <v>0</v>
      </c>
      <c r="K40" s="122"/>
      <c r="L40" s="130"/>
      <c r="M40" s="123"/>
      <c r="N40" s="131"/>
      <c r="O40" s="109">
        <f t="shared" si="3"/>
        <v>80000</v>
      </c>
      <c r="P40" s="99"/>
      <c r="Q40" s="94"/>
      <c r="R40" s="99">
        <f t="shared" si="6"/>
        <v>0</v>
      </c>
      <c r="S40" s="100"/>
      <c r="T40" s="101"/>
      <c r="U40" s="100"/>
      <c r="V40" s="83"/>
      <c r="W40" s="84"/>
    </row>
    <row r="41" spans="1:23" x14ac:dyDescent="0.35">
      <c r="A41" s="10">
        <f t="shared" si="8"/>
        <v>29</v>
      </c>
      <c r="B41" s="102">
        <f t="shared" si="8"/>
        <v>28</v>
      </c>
      <c r="C41" s="103"/>
      <c r="D41" s="104">
        <f t="shared" si="2"/>
        <v>0</v>
      </c>
      <c r="E41" s="121"/>
      <c r="F41" s="121"/>
      <c r="G41" s="124">
        <f t="shared" si="9"/>
        <v>136000</v>
      </c>
      <c r="H41" s="94">
        <f>('[1]Consumption Guide'!G36*O41)/1000</f>
        <v>11200</v>
      </c>
      <c r="I41" s="106">
        <f t="shared" si="0"/>
        <v>-172560</v>
      </c>
      <c r="J41" s="95">
        <f t="shared" si="5"/>
        <v>0</v>
      </c>
      <c r="K41" s="122"/>
      <c r="L41" s="130"/>
      <c r="M41" s="123"/>
      <c r="N41" s="132"/>
      <c r="O41" s="109">
        <f t="shared" si="3"/>
        <v>80000</v>
      </c>
      <c r="P41" s="99"/>
      <c r="Q41" s="94"/>
      <c r="R41" s="99">
        <f t="shared" si="6"/>
        <v>0</v>
      </c>
      <c r="S41" s="100"/>
      <c r="T41" s="101"/>
      <c r="U41" s="100"/>
      <c r="V41" s="83"/>
      <c r="W41" s="84"/>
    </row>
    <row r="42" spans="1:23" x14ac:dyDescent="0.35">
      <c r="A42" s="10">
        <f t="shared" si="8"/>
        <v>30</v>
      </c>
      <c r="B42" s="102">
        <f t="shared" si="8"/>
        <v>29</v>
      </c>
      <c r="C42" s="103"/>
      <c r="D42" s="104">
        <f t="shared" si="2"/>
        <v>0</v>
      </c>
      <c r="E42" s="121"/>
      <c r="F42" s="121"/>
      <c r="G42" s="124">
        <f t="shared" si="9"/>
        <v>136000</v>
      </c>
      <c r="H42" s="94">
        <f>('[1]Consumption Guide'!G37*O42)/1000</f>
        <v>11360</v>
      </c>
      <c r="I42" s="106">
        <f t="shared" si="0"/>
        <v>-183920</v>
      </c>
      <c r="J42" s="95">
        <f t="shared" si="5"/>
        <v>0</v>
      </c>
      <c r="K42" s="122"/>
      <c r="L42" s="130"/>
      <c r="M42" s="133"/>
      <c r="N42" s="132"/>
      <c r="O42" s="109">
        <f t="shared" si="3"/>
        <v>80000</v>
      </c>
      <c r="P42" s="99"/>
      <c r="Q42" s="94"/>
      <c r="R42" s="99">
        <f t="shared" si="6"/>
        <v>0</v>
      </c>
      <c r="S42" s="100"/>
      <c r="T42" s="101"/>
      <c r="U42" s="100"/>
      <c r="V42" s="83"/>
      <c r="W42" s="84"/>
    </row>
    <row r="43" spans="1:23" x14ac:dyDescent="0.35">
      <c r="A43" s="10">
        <f t="shared" si="8"/>
        <v>31</v>
      </c>
      <c r="B43" s="102">
        <f t="shared" si="8"/>
        <v>30</v>
      </c>
      <c r="C43" s="103"/>
      <c r="D43" s="104">
        <f t="shared" si="2"/>
        <v>0</v>
      </c>
      <c r="E43" s="121"/>
      <c r="F43" s="121"/>
      <c r="G43" s="124">
        <f t="shared" si="9"/>
        <v>136000</v>
      </c>
      <c r="H43" s="94">
        <f>('[1]Consumption Guide'!G38*O43)/1000</f>
        <v>11920</v>
      </c>
      <c r="I43" s="106">
        <f t="shared" si="0"/>
        <v>-195840</v>
      </c>
      <c r="J43" s="95">
        <f t="shared" si="5"/>
        <v>0</v>
      </c>
      <c r="K43" s="122"/>
      <c r="L43" s="130"/>
      <c r="M43" s="133"/>
      <c r="N43" s="127"/>
      <c r="O43" s="109">
        <f t="shared" si="3"/>
        <v>80000</v>
      </c>
      <c r="P43" s="99"/>
      <c r="Q43" s="94"/>
      <c r="R43" s="99">
        <f t="shared" si="6"/>
        <v>0</v>
      </c>
      <c r="S43" s="100"/>
      <c r="T43" s="101"/>
      <c r="U43" s="100"/>
      <c r="V43" s="83"/>
      <c r="W43" s="84"/>
    </row>
    <row r="44" spans="1:23" x14ac:dyDescent="0.35">
      <c r="A44" s="10">
        <f t="shared" si="8"/>
        <v>32</v>
      </c>
      <c r="B44" s="102">
        <f t="shared" si="8"/>
        <v>31</v>
      </c>
      <c r="C44" s="103"/>
      <c r="D44" s="104">
        <f t="shared" si="2"/>
        <v>0</v>
      </c>
      <c r="E44" s="121"/>
      <c r="F44" s="121"/>
      <c r="G44" s="124">
        <f t="shared" si="9"/>
        <v>136000</v>
      </c>
      <c r="H44" s="94">
        <f>('[1]Consumption Guide'!G39*O44)/1000</f>
        <v>12240</v>
      </c>
      <c r="I44" s="106">
        <f t="shared" si="0"/>
        <v>-208080</v>
      </c>
      <c r="J44" s="95">
        <f>(K44+M44+L44)</f>
        <v>0</v>
      </c>
      <c r="K44" s="122"/>
      <c r="L44" s="134"/>
      <c r="M44" s="133"/>
      <c r="N44" s="91"/>
      <c r="O44" s="109">
        <f t="shared" si="3"/>
        <v>80000</v>
      </c>
      <c r="P44" s="99"/>
      <c r="Q44" s="94"/>
      <c r="R44" s="99">
        <f t="shared" si="6"/>
        <v>0</v>
      </c>
      <c r="S44" s="100"/>
      <c r="T44" s="101"/>
      <c r="U44" s="100"/>
      <c r="V44" s="83"/>
      <c r="W44" s="84"/>
    </row>
    <row r="45" spans="1:23" s="125" customFormat="1" x14ac:dyDescent="0.35">
      <c r="A45" s="125">
        <f t="shared" si="8"/>
        <v>33</v>
      </c>
      <c r="B45" s="102">
        <f t="shared" si="8"/>
        <v>32</v>
      </c>
      <c r="C45" s="103"/>
      <c r="D45" s="104">
        <f t="shared" si="2"/>
        <v>0</v>
      </c>
      <c r="E45" s="121"/>
      <c r="F45" s="121"/>
      <c r="G45" s="135">
        <v>0</v>
      </c>
      <c r="H45" s="94">
        <f>('[1]Consumption Guide'!G40*O45)/1000</f>
        <v>12640</v>
      </c>
      <c r="I45" s="106">
        <f t="shared" si="0"/>
        <v>-220720</v>
      </c>
      <c r="J45" s="95">
        <f t="shared" si="5"/>
        <v>0</v>
      </c>
      <c r="K45" s="122"/>
      <c r="L45" s="134"/>
      <c r="M45" s="133"/>
      <c r="N45" s="91"/>
      <c r="O45" s="109">
        <f t="shared" si="3"/>
        <v>80000</v>
      </c>
      <c r="P45" s="136"/>
      <c r="Q45" s="94"/>
      <c r="R45" s="99">
        <f t="shared" si="6"/>
        <v>0</v>
      </c>
      <c r="S45" s="100"/>
      <c r="T45" s="101"/>
      <c r="U45" s="100"/>
      <c r="V45" s="128"/>
      <c r="W45" s="129"/>
    </row>
    <row r="46" spans="1:23" x14ac:dyDescent="0.35">
      <c r="A46" s="10">
        <f t="shared" si="8"/>
        <v>34</v>
      </c>
      <c r="B46" s="102">
        <f t="shared" si="8"/>
        <v>33</v>
      </c>
      <c r="C46" s="103"/>
      <c r="D46" s="104">
        <f t="shared" si="2"/>
        <v>0</v>
      </c>
      <c r="E46" s="121"/>
      <c r="F46" s="121"/>
      <c r="G46" s="135">
        <v>0</v>
      </c>
      <c r="H46" s="94">
        <f>('[1]Consumption Guide'!G41*O46)/1000</f>
        <v>13040</v>
      </c>
      <c r="I46" s="106">
        <f t="shared" si="0"/>
        <v>-233760</v>
      </c>
      <c r="J46" s="95">
        <f t="shared" si="5"/>
        <v>0</v>
      </c>
      <c r="K46" s="122"/>
      <c r="L46" s="134"/>
      <c r="M46" s="133"/>
      <c r="N46" s="107"/>
      <c r="O46" s="109">
        <f t="shared" si="3"/>
        <v>80000</v>
      </c>
      <c r="P46" s="136"/>
      <c r="Q46" s="94"/>
      <c r="R46" s="99">
        <f t="shared" si="6"/>
        <v>0</v>
      </c>
      <c r="S46" s="100"/>
      <c r="T46" s="101"/>
      <c r="U46" s="100"/>
      <c r="V46" s="83"/>
      <c r="W46" s="84"/>
    </row>
    <row r="47" spans="1:23" x14ac:dyDescent="0.35">
      <c r="A47" s="10">
        <f t="shared" ref="A47:B62" si="10">A46+1</f>
        <v>35</v>
      </c>
      <c r="B47" s="102">
        <f t="shared" si="10"/>
        <v>34</v>
      </c>
      <c r="C47" s="103"/>
      <c r="D47" s="104">
        <f t="shared" si="2"/>
        <v>0</v>
      </c>
      <c r="E47" s="121"/>
      <c r="F47" s="121"/>
      <c r="G47" s="135">
        <v>0</v>
      </c>
      <c r="H47" s="94">
        <f>('[1]Consumption Guide'!G42*O47)/1000</f>
        <v>13200</v>
      </c>
      <c r="I47" s="106">
        <f t="shared" si="0"/>
        <v>-246960</v>
      </c>
      <c r="J47" s="95">
        <f t="shared" si="5"/>
        <v>0</v>
      </c>
      <c r="K47" s="122"/>
      <c r="L47" s="134"/>
      <c r="M47" s="133"/>
      <c r="N47" s="107"/>
      <c r="O47" s="109">
        <f t="shared" si="3"/>
        <v>80000</v>
      </c>
      <c r="P47" s="136"/>
      <c r="Q47" s="94"/>
      <c r="R47" s="99">
        <f t="shared" si="6"/>
        <v>0</v>
      </c>
      <c r="S47" s="100"/>
      <c r="T47" s="101"/>
      <c r="U47" s="100"/>
      <c r="V47" s="83"/>
      <c r="W47" s="84"/>
    </row>
    <row r="48" spans="1:23" x14ac:dyDescent="0.35">
      <c r="A48" s="10">
        <f t="shared" si="10"/>
        <v>36</v>
      </c>
      <c r="B48" s="102">
        <f t="shared" si="10"/>
        <v>35</v>
      </c>
      <c r="C48" s="103"/>
      <c r="D48" s="104">
        <f t="shared" si="2"/>
        <v>0</v>
      </c>
      <c r="E48" s="121"/>
      <c r="F48" s="137"/>
      <c r="G48" s="135">
        <v>0</v>
      </c>
      <c r="H48" s="94">
        <f>('[1]Consumption Guide'!G43*O48)/1000</f>
        <v>13440</v>
      </c>
      <c r="I48" s="106">
        <f t="shared" si="0"/>
        <v>-260400</v>
      </c>
      <c r="J48" s="95">
        <f t="shared" si="5"/>
        <v>0</v>
      </c>
      <c r="K48" s="122"/>
      <c r="L48" s="134"/>
      <c r="M48" s="133"/>
      <c r="N48" s="131"/>
      <c r="O48" s="109">
        <f t="shared" si="3"/>
        <v>80000</v>
      </c>
      <c r="P48" s="136"/>
      <c r="Q48" s="94"/>
      <c r="R48" s="99">
        <f t="shared" si="6"/>
        <v>0</v>
      </c>
      <c r="S48" s="100"/>
      <c r="T48" s="101"/>
      <c r="U48" s="100"/>
      <c r="V48" s="83"/>
      <c r="W48" s="84"/>
    </row>
    <row r="49" spans="1:23" x14ac:dyDescent="0.35">
      <c r="A49" s="10">
        <f t="shared" si="10"/>
        <v>37</v>
      </c>
      <c r="B49" s="102">
        <f t="shared" si="10"/>
        <v>36</v>
      </c>
      <c r="C49" s="103"/>
      <c r="D49" s="104">
        <f t="shared" si="2"/>
        <v>0</v>
      </c>
      <c r="E49" s="91"/>
      <c r="F49" s="91"/>
      <c r="G49" s="135">
        <v>0</v>
      </c>
      <c r="H49" s="94">
        <f>('[1]Consumption Guide'!G44*O49)/1000</f>
        <v>13680</v>
      </c>
      <c r="I49" s="106">
        <f t="shared" si="0"/>
        <v>-274080</v>
      </c>
      <c r="J49" s="95">
        <f t="shared" si="5"/>
        <v>0</v>
      </c>
      <c r="K49" s="122"/>
      <c r="L49" s="134"/>
      <c r="M49" s="133"/>
      <c r="N49" s="91"/>
      <c r="O49" s="109">
        <f t="shared" si="3"/>
        <v>80000</v>
      </c>
      <c r="P49" s="136"/>
      <c r="Q49" s="94"/>
      <c r="R49" s="99">
        <f t="shared" si="6"/>
        <v>0</v>
      </c>
      <c r="S49" s="100"/>
      <c r="T49" s="101"/>
      <c r="U49" s="100"/>
      <c r="V49" s="83"/>
      <c r="W49" s="84"/>
    </row>
    <row r="50" spans="1:23" x14ac:dyDescent="0.35">
      <c r="A50" s="10">
        <f t="shared" si="10"/>
        <v>38</v>
      </c>
      <c r="B50" s="102">
        <f t="shared" si="10"/>
        <v>37</v>
      </c>
      <c r="C50" s="103"/>
      <c r="D50" s="104">
        <f t="shared" si="2"/>
        <v>0</v>
      </c>
      <c r="E50" s="91"/>
      <c r="F50" s="91"/>
      <c r="G50" s="135">
        <v>0</v>
      </c>
      <c r="H50" s="94">
        <f>('[1]Consumption Guide'!G45*O50)/1000</f>
        <v>13920</v>
      </c>
      <c r="I50" s="106">
        <f t="shared" si="0"/>
        <v>-288000</v>
      </c>
      <c r="J50" s="95">
        <f t="shared" si="5"/>
        <v>0</v>
      </c>
      <c r="K50" s="122"/>
      <c r="L50" s="134"/>
      <c r="M50" s="133"/>
      <c r="N50" s="91"/>
      <c r="O50" s="109">
        <f t="shared" si="3"/>
        <v>80000</v>
      </c>
      <c r="P50" s="136"/>
      <c r="Q50" s="94"/>
      <c r="R50" s="99">
        <f t="shared" si="6"/>
        <v>0</v>
      </c>
      <c r="S50" s="100"/>
      <c r="T50" s="101"/>
      <c r="U50" s="100"/>
      <c r="V50" s="83"/>
      <c r="W50" s="84"/>
    </row>
    <row r="51" spans="1:23" x14ac:dyDescent="0.35">
      <c r="A51" s="10">
        <f t="shared" si="10"/>
        <v>39</v>
      </c>
      <c r="B51" s="102">
        <f t="shared" si="10"/>
        <v>38</v>
      </c>
      <c r="C51" s="103"/>
      <c r="D51" s="104">
        <f t="shared" si="2"/>
        <v>0</v>
      </c>
      <c r="E51" s="91"/>
      <c r="F51" s="91"/>
      <c r="G51" s="135">
        <v>0</v>
      </c>
      <c r="H51" s="94">
        <f>('[1]Consumption Guide'!G46*O51)/1000</f>
        <v>14080</v>
      </c>
      <c r="I51" s="106">
        <f t="shared" si="0"/>
        <v>-302080</v>
      </c>
      <c r="J51" s="95">
        <f t="shared" si="5"/>
        <v>0</v>
      </c>
      <c r="K51" s="122"/>
      <c r="L51" s="134"/>
      <c r="M51" s="133"/>
      <c r="N51" s="121"/>
      <c r="O51" s="109">
        <f t="shared" si="3"/>
        <v>80000</v>
      </c>
      <c r="P51" s="136"/>
      <c r="Q51" s="94"/>
      <c r="R51" s="99">
        <f t="shared" si="6"/>
        <v>0</v>
      </c>
      <c r="S51" s="100"/>
      <c r="T51" s="101"/>
      <c r="U51" s="100"/>
      <c r="V51" s="83"/>
      <c r="W51" s="84"/>
    </row>
    <row r="52" spans="1:23" x14ac:dyDescent="0.35">
      <c r="A52" s="10">
        <f t="shared" si="10"/>
        <v>40</v>
      </c>
      <c r="B52" s="102">
        <f t="shared" si="10"/>
        <v>39</v>
      </c>
      <c r="C52" s="103"/>
      <c r="D52" s="104">
        <f t="shared" si="2"/>
        <v>0</v>
      </c>
      <c r="E52" s="91"/>
      <c r="F52" s="91"/>
      <c r="G52" s="135">
        <v>0</v>
      </c>
      <c r="H52" s="94">
        <f>('[1]Consumption Guide'!G47*O52)/1000</f>
        <v>14240</v>
      </c>
      <c r="I52" s="106">
        <f t="shared" si="0"/>
        <v>-316320</v>
      </c>
      <c r="J52" s="95">
        <f t="shared" si="5"/>
        <v>0</v>
      </c>
      <c r="K52" s="122"/>
      <c r="L52" s="134"/>
      <c r="M52" s="133"/>
      <c r="N52" s="91"/>
      <c r="O52" s="109">
        <f t="shared" si="3"/>
        <v>80000</v>
      </c>
      <c r="P52" s="136"/>
      <c r="Q52" s="94"/>
      <c r="R52" s="99">
        <f t="shared" si="6"/>
        <v>0</v>
      </c>
      <c r="S52" s="100"/>
      <c r="T52" s="101"/>
      <c r="U52" s="100"/>
      <c r="V52" s="83"/>
      <c r="W52" s="84"/>
    </row>
    <row r="53" spans="1:23" x14ac:dyDescent="0.35">
      <c r="A53" s="138">
        <f t="shared" si="10"/>
        <v>41</v>
      </c>
      <c r="B53" s="102">
        <f t="shared" si="10"/>
        <v>40</v>
      </c>
      <c r="C53" s="103"/>
      <c r="D53" s="139">
        <f t="shared" si="2"/>
        <v>0</v>
      </c>
      <c r="E53" s="91"/>
      <c r="F53" s="91"/>
      <c r="G53" s="135">
        <v>0</v>
      </c>
      <c r="H53" s="140">
        <f>('[1]Consumption Guide'!G48*O53)/1000</f>
        <v>14400</v>
      </c>
      <c r="I53" s="141">
        <f t="shared" si="0"/>
        <v>-330720</v>
      </c>
      <c r="J53" s="95">
        <f t="shared" si="5"/>
        <v>0</v>
      </c>
      <c r="K53" s="119"/>
      <c r="L53" s="91"/>
      <c r="M53" s="142"/>
      <c r="N53" s="134"/>
      <c r="O53" s="109">
        <f t="shared" si="3"/>
        <v>80000</v>
      </c>
      <c r="P53" s="136"/>
      <c r="Q53" s="94"/>
      <c r="R53" s="99">
        <f t="shared" si="6"/>
        <v>0</v>
      </c>
      <c r="S53" s="100"/>
      <c r="T53" s="101"/>
      <c r="U53" s="100"/>
      <c r="V53" s="83"/>
      <c r="W53" s="84"/>
    </row>
    <row r="54" spans="1:23" x14ac:dyDescent="0.35">
      <c r="A54" s="10">
        <f t="shared" si="10"/>
        <v>42</v>
      </c>
      <c r="B54" s="102">
        <f t="shared" si="10"/>
        <v>41</v>
      </c>
      <c r="C54" s="103"/>
      <c r="D54" s="104">
        <f t="shared" si="2"/>
        <v>0</v>
      </c>
      <c r="E54" s="91"/>
      <c r="F54" s="91"/>
      <c r="G54" s="135">
        <v>0</v>
      </c>
      <c r="H54" s="94">
        <f>('[1]Consumption Guide'!G49*O54)/1000</f>
        <v>14480</v>
      </c>
      <c r="I54" s="106">
        <f t="shared" si="0"/>
        <v>-345200</v>
      </c>
      <c r="J54" s="95">
        <f t="shared" si="5"/>
        <v>0</v>
      </c>
      <c r="K54" s="119"/>
      <c r="L54" s="91"/>
      <c r="M54" s="142"/>
      <c r="N54" s="91"/>
      <c r="O54" s="109">
        <f t="shared" si="3"/>
        <v>80000</v>
      </c>
      <c r="P54" s="136"/>
      <c r="Q54" s="94"/>
      <c r="R54" s="99">
        <f t="shared" si="6"/>
        <v>0</v>
      </c>
      <c r="S54" s="100"/>
      <c r="T54" s="101"/>
      <c r="U54" s="101"/>
      <c r="V54" s="83"/>
      <c r="W54" s="84"/>
    </row>
    <row r="55" spans="1:23" x14ac:dyDescent="0.35">
      <c r="A55" s="10">
        <f t="shared" si="10"/>
        <v>43</v>
      </c>
      <c r="B55" s="102">
        <f t="shared" si="10"/>
        <v>42</v>
      </c>
      <c r="C55" s="103"/>
      <c r="D55" s="104">
        <f t="shared" si="2"/>
        <v>0</v>
      </c>
      <c r="E55" s="91"/>
      <c r="F55" s="91"/>
      <c r="G55" s="135">
        <v>0</v>
      </c>
      <c r="H55" s="94">
        <f>('[1]Consumption Guide'!G50*O55)/1000</f>
        <v>15040</v>
      </c>
      <c r="I55" s="106">
        <f t="shared" si="0"/>
        <v>-360240</v>
      </c>
      <c r="J55" s="95">
        <f t="shared" si="5"/>
        <v>0</v>
      </c>
      <c r="K55" s="119"/>
      <c r="L55" s="91"/>
      <c r="M55" s="115"/>
      <c r="N55" s="91"/>
      <c r="O55" s="109">
        <f t="shared" si="3"/>
        <v>80000</v>
      </c>
      <c r="P55" s="136"/>
      <c r="Q55" s="94"/>
      <c r="R55" s="99">
        <f t="shared" si="6"/>
        <v>0</v>
      </c>
      <c r="S55" s="100"/>
      <c r="T55" s="101"/>
      <c r="U55" s="100"/>
      <c r="V55" s="83"/>
      <c r="W55" s="84"/>
    </row>
    <row r="56" spans="1:23" x14ac:dyDescent="0.35">
      <c r="A56" s="10">
        <f t="shared" si="10"/>
        <v>44</v>
      </c>
      <c r="B56" s="102">
        <f t="shared" si="10"/>
        <v>43</v>
      </c>
      <c r="C56" s="103"/>
      <c r="D56" s="104">
        <f t="shared" si="2"/>
        <v>0</v>
      </c>
      <c r="E56" s="91"/>
      <c r="F56" s="91"/>
      <c r="G56" s="135">
        <v>0</v>
      </c>
      <c r="H56" s="94">
        <f>('[1]Consumption Guide'!G51*O56)/1000</f>
        <v>15200</v>
      </c>
      <c r="I56" s="106">
        <f t="shared" si="0"/>
        <v>-375440</v>
      </c>
      <c r="J56" s="95">
        <f t="shared" si="5"/>
        <v>0</v>
      </c>
      <c r="K56" s="119"/>
      <c r="L56" s="91"/>
      <c r="M56" s="115"/>
      <c r="N56" s="134"/>
      <c r="O56" s="109">
        <f t="shared" si="3"/>
        <v>80000</v>
      </c>
      <c r="P56" s="136"/>
      <c r="Q56" s="94"/>
      <c r="R56" s="99">
        <f t="shared" si="6"/>
        <v>0</v>
      </c>
      <c r="S56" s="100"/>
      <c r="T56" s="101"/>
      <c r="U56" s="100"/>
      <c r="V56" s="83"/>
      <c r="W56" s="84"/>
    </row>
    <row r="57" spans="1:23" s="125" customFormat="1" x14ac:dyDescent="0.35">
      <c r="A57" s="125">
        <f t="shared" si="10"/>
        <v>45</v>
      </c>
      <c r="B57" s="102">
        <f t="shared" si="10"/>
        <v>44</v>
      </c>
      <c r="C57" s="103"/>
      <c r="D57" s="104">
        <f t="shared" si="2"/>
        <v>0</v>
      </c>
      <c r="E57" s="91"/>
      <c r="F57" s="91"/>
      <c r="G57" s="135">
        <v>0</v>
      </c>
      <c r="H57" s="94">
        <f>('[1]Consumption Guide'!G52*O57)/1000</f>
        <v>15360</v>
      </c>
      <c r="I57" s="94">
        <f t="shared" si="0"/>
        <v>-390800</v>
      </c>
      <c r="J57" s="95">
        <f t="shared" si="5"/>
        <v>0</v>
      </c>
      <c r="K57" s="119"/>
      <c r="L57" s="91"/>
      <c r="M57" s="115"/>
      <c r="N57" s="91"/>
      <c r="O57" s="109">
        <f t="shared" si="3"/>
        <v>80000</v>
      </c>
      <c r="P57" s="136"/>
      <c r="Q57" s="94"/>
      <c r="R57" s="99">
        <f t="shared" si="6"/>
        <v>0</v>
      </c>
      <c r="S57" s="100"/>
      <c r="T57" s="101"/>
      <c r="U57" s="101"/>
      <c r="V57" s="128"/>
      <c r="W57" s="129"/>
    </row>
    <row r="58" spans="1:23" s="125" customFormat="1" x14ac:dyDescent="0.35">
      <c r="A58" s="125">
        <f t="shared" si="10"/>
        <v>46</v>
      </c>
      <c r="B58" s="102">
        <f t="shared" si="10"/>
        <v>45</v>
      </c>
      <c r="C58" s="103"/>
      <c r="D58" s="104">
        <f t="shared" si="2"/>
        <v>0</v>
      </c>
      <c r="E58" s="91"/>
      <c r="F58" s="91"/>
      <c r="G58" s="135">
        <v>0</v>
      </c>
      <c r="H58" s="94">
        <f>('[1]Consumption Guide'!G53*O58)/1000</f>
        <v>15440</v>
      </c>
      <c r="I58" s="106">
        <f t="shared" si="0"/>
        <v>-406240</v>
      </c>
      <c r="J58" s="95">
        <v>0</v>
      </c>
      <c r="K58" s="119"/>
      <c r="L58" s="91"/>
      <c r="M58" s="115"/>
      <c r="N58" s="91"/>
      <c r="O58" s="109">
        <f t="shared" si="3"/>
        <v>80000</v>
      </c>
      <c r="P58" s="136"/>
      <c r="Q58" s="94"/>
      <c r="R58" s="99">
        <f t="shared" si="6"/>
        <v>0</v>
      </c>
      <c r="S58" s="100"/>
      <c r="T58" s="101"/>
      <c r="U58" s="101"/>
      <c r="V58" s="128"/>
      <c r="W58" s="129"/>
    </row>
    <row r="59" spans="1:23" s="125" customFormat="1" x14ac:dyDescent="0.35">
      <c r="A59" s="125">
        <f t="shared" si="10"/>
        <v>47</v>
      </c>
      <c r="B59" s="102">
        <f t="shared" si="10"/>
        <v>46</v>
      </c>
      <c r="C59" s="103"/>
      <c r="D59" s="104">
        <f>D58+E59</f>
        <v>0</v>
      </c>
      <c r="E59" s="91"/>
      <c r="F59" s="91"/>
      <c r="G59" s="135">
        <v>0</v>
      </c>
      <c r="H59" s="94">
        <f>('[1]Consumption Guide'!G54*O59)/1000</f>
        <v>15520</v>
      </c>
      <c r="I59" s="94">
        <f t="shared" si="0"/>
        <v>-421760</v>
      </c>
      <c r="J59" s="95">
        <f t="shared" si="5"/>
        <v>0</v>
      </c>
      <c r="K59" s="119"/>
      <c r="L59" s="91"/>
      <c r="M59" s="115"/>
      <c r="N59" s="91"/>
      <c r="O59" s="109">
        <f t="shared" si="3"/>
        <v>80000</v>
      </c>
      <c r="P59" s="136"/>
      <c r="Q59" s="94"/>
      <c r="R59" s="99">
        <f t="shared" si="6"/>
        <v>0</v>
      </c>
      <c r="S59" s="100"/>
      <c r="T59" s="101"/>
      <c r="U59" s="100"/>
      <c r="V59" s="128"/>
      <c r="W59" s="129"/>
    </row>
    <row r="60" spans="1:23" s="125" customFormat="1" x14ac:dyDescent="0.35">
      <c r="A60" s="125">
        <f t="shared" si="10"/>
        <v>48</v>
      </c>
      <c r="B60" s="102">
        <f t="shared" si="10"/>
        <v>47</v>
      </c>
      <c r="C60" s="103"/>
      <c r="D60" s="104">
        <f t="shared" si="2"/>
        <v>0</v>
      </c>
      <c r="E60" s="91"/>
      <c r="F60" s="91"/>
      <c r="G60" s="135">
        <v>0</v>
      </c>
      <c r="H60" s="94">
        <f>('[1]Consumption Guide'!G55*O60)/1000</f>
        <v>15600</v>
      </c>
      <c r="I60" s="106">
        <f t="shared" si="0"/>
        <v>-437360</v>
      </c>
      <c r="J60" s="95">
        <f t="shared" si="5"/>
        <v>0</v>
      </c>
      <c r="K60" s="119"/>
      <c r="L60" s="91"/>
      <c r="M60" s="115"/>
      <c r="N60" s="121"/>
      <c r="O60" s="109">
        <f t="shared" si="3"/>
        <v>80000</v>
      </c>
      <c r="P60" s="136"/>
      <c r="Q60" s="94"/>
      <c r="R60" s="99">
        <f t="shared" si="6"/>
        <v>0</v>
      </c>
      <c r="S60" s="100"/>
      <c r="T60" s="101"/>
      <c r="U60" s="100"/>
      <c r="V60" s="128"/>
      <c r="W60" s="129"/>
    </row>
    <row r="61" spans="1:23" s="125" customFormat="1" x14ac:dyDescent="0.35">
      <c r="A61" s="125">
        <f t="shared" si="10"/>
        <v>49</v>
      </c>
      <c r="B61" s="102">
        <f t="shared" si="10"/>
        <v>48</v>
      </c>
      <c r="C61" s="103"/>
      <c r="D61" s="104">
        <f>D60+E61</f>
        <v>0</v>
      </c>
      <c r="E61" s="91"/>
      <c r="F61" s="91"/>
      <c r="G61" s="135">
        <v>0</v>
      </c>
      <c r="H61" s="94">
        <f>('[1]Consumption Guide'!G56*O61)/1000</f>
        <v>15680</v>
      </c>
      <c r="I61" s="106">
        <f>IF((J61&gt;0),(J61-H61+E61),(I60-H61+E61))</f>
        <v>-453040</v>
      </c>
      <c r="J61" s="95">
        <f t="shared" si="5"/>
        <v>0</v>
      </c>
      <c r="K61" s="119"/>
      <c r="L61" s="91"/>
      <c r="M61" s="115"/>
      <c r="N61" s="91"/>
      <c r="O61" s="109">
        <f>SUM(O60-N61)</f>
        <v>80000</v>
      </c>
      <c r="P61" s="136"/>
      <c r="Q61" s="94"/>
      <c r="R61" s="99">
        <f t="shared" si="6"/>
        <v>0</v>
      </c>
      <c r="S61" s="100"/>
      <c r="T61" s="101"/>
      <c r="U61" s="100"/>
      <c r="V61" s="128"/>
      <c r="W61" s="129"/>
    </row>
    <row r="62" spans="1:23" s="125" customFormat="1" x14ac:dyDescent="0.35">
      <c r="A62" s="125">
        <f t="shared" si="10"/>
        <v>50</v>
      </c>
      <c r="B62" s="102">
        <f t="shared" si="10"/>
        <v>49</v>
      </c>
      <c r="C62" s="103"/>
      <c r="D62" s="104">
        <f t="shared" si="2"/>
        <v>0</v>
      </c>
      <c r="E62" s="91"/>
      <c r="F62" s="91"/>
      <c r="G62" s="135">
        <v>0</v>
      </c>
      <c r="H62" s="94">
        <f>('[1]Consumption Guide'!G57*O62)/1000</f>
        <v>15760</v>
      </c>
      <c r="I62" s="94">
        <f t="shared" si="0"/>
        <v>-468800</v>
      </c>
      <c r="J62" s="95">
        <f t="shared" si="5"/>
        <v>0</v>
      </c>
      <c r="K62" s="119"/>
      <c r="L62" s="91"/>
      <c r="M62" s="115"/>
      <c r="N62" s="134"/>
      <c r="O62" s="109">
        <f>SUM(O61-N62)</f>
        <v>80000</v>
      </c>
      <c r="P62" s="136"/>
      <c r="Q62" s="94"/>
      <c r="R62" s="99">
        <f t="shared" si="6"/>
        <v>0</v>
      </c>
      <c r="S62" s="100"/>
      <c r="T62" s="101"/>
      <c r="U62" s="100"/>
      <c r="V62" s="128"/>
      <c r="W62" s="129"/>
    </row>
    <row r="63" spans="1:23" s="125" customFormat="1" x14ac:dyDescent="0.35">
      <c r="A63" s="125">
        <f t="shared" ref="A63:B72" si="11">A62+1</f>
        <v>51</v>
      </c>
      <c r="B63" s="102">
        <f t="shared" si="11"/>
        <v>50</v>
      </c>
      <c r="C63" s="103"/>
      <c r="D63" s="104">
        <f t="shared" si="2"/>
        <v>0</v>
      </c>
      <c r="E63" s="91"/>
      <c r="F63" s="91"/>
      <c r="G63" s="135">
        <v>0</v>
      </c>
      <c r="H63" s="94">
        <f>('[1]Consumption Guide'!G58*O63)/1000</f>
        <v>15760</v>
      </c>
      <c r="I63" s="94">
        <f t="shared" si="0"/>
        <v>-484560</v>
      </c>
      <c r="J63" s="95">
        <f>(K63+M63+L63)</f>
        <v>0</v>
      </c>
      <c r="K63" s="119"/>
      <c r="L63" s="91"/>
      <c r="M63" s="115"/>
      <c r="N63" s="91"/>
      <c r="O63" s="109">
        <f t="shared" si="3"/>
        <v>80000</v>
      </c>
      <c r="P63" s="143"/>
      <c r="Q63" s="94"/>
      <c r="R63" s="99">
        <f t="shared" si="6"/>
        <v>0</v>
      </c>
      <c r="S63" s="100"/>
      <c r="T63" s="101"/>
      <c r="U63" s="101"/>
      <c r="V63" s="128"/>
      <c r="W63" s="129"/>
    </row>
    <row r="64" spans="1:23" s="125" customFormat="1" x14ac:dyDescent="0.35">
      <c r="A64" s="125">
        <f t="shared" si="11"/>
        <v>52</v>
      </c>
      <c r="B64" s="102">
        <f t="shared" si="11"/>
        <v>51</v>
      </c>
      <c r="C64" s="103"/>
      <c r="D64" s="104">
        <f t="shared" si="2"/>
        <v>0</v>
      </c>
      <c r="E64" s="91"/>
      <c r="F64" s="91"/>
      <c r="G64" s="135">
        <v>0</v>
      </c>
      <c r="H64" s="94">
        <f>('[1]Consumption Guide'!G59*O64)/1000</f>
        <v>15760</v>
      </c>
      <c r="I64" s="94">
        <f t="shared" si="0"/>
        <v>-500320</v>
      </c>
      <c r="J64" s="95">
        <f>(K64+M64+L64)</f>
        <v>0</v>
      </c>
      <c r="K64" s="119"/>
      <c r="L64" s="91"/>
      <c r="M64" s="111"/>
      <c r="N64" s="91"/>
      <c r="O64" s="109">
        <f t="shared" si="3"/>
        <v>80000</v>
      </c>
      <c r="P64" s="136"/>
      <c r="Q64" s="94"/>
      <c r="R64" s="99">
        <f t="shared" si="6"/>
        <v>0</v>
      </c>
      <c r="S64" s="100"/>
      <c r="T64" s="101"/>
      <c r="U64" s="144"/>
      <c r="V64" s="128"/>
      <c r="W64" s="129"/>
    </row>
    <row r="65" spans="1:23" s="125" customFormat="1" x14ac:dyDescent="0.35">
      <c r="A65" s="125">
        <f t="shared" si="11"/>
        <v>53</v>
      </c>
      <c r="B65" s="102">
        <f t="shared" si="11"/>
        <v>52</v>
      </c>
      <c r="C65" s="103"/>
      <c r="D65" s="104">
        <f t="shared" si="2"/>
        <v>0</v>
      </c>
      <c r="E65" s="91"/>
      <c r="F65" s="91"/>
      <c r="G65" s="135">
        <v>0</v>
      </c>
      <c r="H65" s="94">
        <f>('[1]Consumption Guide'!G60*O65)/1000</f>
        <v>15840</v>
      </c>
      <c r="I65" s="94">
        <f t="shared" si="0"/>
        <v>-516160</v>
      </c>
      <c r="J65" s="95">
        <f>(K65+M65+L65)</f>
        <v>0</v>
      </c>
      <c r="K65" s="119"/>
      <c r="L65" s="91"/>
      <c r="M65" s="111"/>
      <c r="N65" s="91"/>
      <c r="O65" s="109">
        <f t="shared" si="3"/>
        <v>80000</v>
      </c>
      <c r="P65" s="136"/>
      <c r="Q65" s="94"/>
      <c r="R65" s="99">
        <f t="shared" si="6"/>
        <v>0</v>
      </c>
      <c r="S65" s="100"/>
      <c r="T65" s="101"/>
      <c r="U65" s="101"/>
      <c r="V65" s="128"/>
      <c r="W65" s="129"/>
    </row>
    <row r="66" spans="1:23" s="125" customFormat="1" x14ac:dyDescent="0.35">
      <c r="A66" s="125">
        <f t="shared" si="11"/>
        <v>54</v>
      </c>
      <c r="B66" s="102">
        <f t="shared" si="11"/>
        <v>53</v>
      </c>
      <c r="C66" s="103"/>
      <c r="D66" s="104">
        <f t="shared" si="2"/>
        <v>0</v>
      </c>
      <c r="E66" s="91"/>
      <c r="F66" s="91"/>
      <c r="G66" s="135">
        <v>0</v>
      </c>
      <c r="H66" s="94">
        <f>('[1]Consumption Guide'!G61*O66)/1000</f>
        <v>15760</v>
      </c>
      <c r="I66" s="106">
        <f t="shared" si="0"/>
        <v>-531920</v>
      </c>
      <c r="J66" s="95">
        <f>(K66+M66+L66)</f>
        <v>0</v>
      </c>
      <c r="K66" s="119"/>
      <c r="L66" s="91"/>
      <c r="M66" s="111"/>
      <c r="N66" s="91"/>
      <c r="O66" s="109">
        <f t="shared" si="3"/>
        <v>80000</v>
      </c>
      <c r="P66" s="145"/>
      <c r="Q66" s="94"/>
      <c r="R66" s="99">
        <f t="shared" si="6"/>
        <v>0</v>
      </c>
      <c r="S66" s="100"/>
      <c r="T66" s="101"/>
      <c r="U66" s="101"/>
      <c r="V66" s="128"/>
      <c r="W66" s="129"/>
    </row>
    <row r="67" spans="1:23" s="125" customFormat="1" x14ac:dyDescent="0.35">
      <c r="A67" s="125">
        <f t="shared" si="11"/>
        <v>55</v>
      </c>
      <c r="B67" s="102">
        <f t="shared" si="11"/>
        <v>54</v>
      </c>
      <c r="C67" s="103"/>
      <c r="D67" s="104">
        <f t="shared" si="2"/>
        <v>0</v>
      </c>
      <c r="E67" s="91"/>
      <c r="F67" s="91"/>
      <c r="G67" s="135">
        <v>0</v>
      </c>
      <c r="H67" s="94">
        <f>('[1]Consumption Guide'!G62*O67)/1000</f>
        <v>15840</v>
      </c>
      <c r="I67" s="106">
        <f t="shared" si="0"/>
        <v>-547760</v>
      </c>
      <c r="J67" s="95">
        <f t="shared" si="5"/>
        <v>0</v>
      </c>
      <c r="K67" s="119"/>
      <c r="L67" s="91"/>
      <c r="M67" s="111"/>
      <c r="N67" s="91"/>
      <c r="O67" s="109">
        <f t="shared" si="3"/>
        <v>80000</v>
      </c>
      <c r="P67" s="136"/>
      <c r="Q67" s="94"/>
      <c r="R67" s="99">
        <f t="shared" si="6"/>
        <v>0</v>
      </c>
      <c r="S67" s="100"/>
      <c r="T67" s="101"/>
      <c r="U67" s="101"/>
      <c r="V67" s="128"/>
      <c r="W67" s="129"/>
    </row>
    <row r="68" spans="1:23" x14ac:dyDescent="0.35">
      <c r="A68" s="10">
        <f t="shared" si="11"/>
        <v>56</v>
      </c>
      <c r="B68" s="102">
        <f t="shared" si="11"/>
        <v>55</v>
      </c>
      <c r="C68" s="103"/>
      <c r="D68" s="104">
        <f t="shared" si="2"/>
        <v>0</v>
      </c>
      <c r="E68" s="91"/>
      <c r="F68" s="91"/>
      <c r="G68" s="135">
        <v>0</v>
      </c>
      <c r="H68" s="94">
        <f>('[1]Consumption Guide'!G63*O68)/1000</f>
        <v>15760</v>
      </c>
      <c r="I68" s="106">
        <f t="shared" si="0"/>
        <v>-563520</v>
      </c>
      <c r="J68" s="95">
        <f t="shared" si="5"/>
        <v>0</v>
      </c>
      <c r="K68" s="146"/>
      <c r="L68" s="89"/>
      <c r="M68" s="111"/>
      <c r="N68" s="134"/>
      <c r="O68" s="109">
        <f t="shared" si="3"/>
        <v>80000</v>
      </c>
      <c r="P68" s="136"/>
      <c r="Q68" s="94"/>
      <c r="R68" s="99">
        <f t="shared" si="6"/>
        <v>0</v>
      </c>
      <c r="S68" s="100"/>
      <c r="T68" s="101"/>
      <c r="U68" s="101"/>
      <c r="V68" s="83"/>
      <c r="W68" s="84"/>
    </row>
    <row r="69" spans="1:23" s="125" customFormat="1" x14ac:dyDescent="0.35">
      <c r="A69" s="125">
        <f t="shared" si="11"/>
        <v>57</v>
      </c>
      <c r="B69" s="102">
        <f t="shared" si="11"/>
        <v>56</v>
      </c>
      <c r="C69" s="103"/>
      <c r="D69" s="104">
        <f t="shared" si="2"/>
        <v>0</v>
      </c>
      <c r="E69" s="91"/>
      <c r="F69" s="91"/>
      <c r="G69" s="135">
        <f>G68-E69</f>
        <v>0</v>
      </c>
      <c r="H69" s="94">
        <f>('[1]Consumption Guide'!G64*O69)/1000</f>
        <v>15600</v>
      </c>
      <c r="I69" s="106">
        <f t="shared" si="0"/>
        <v>-579120</v>
      </c>
      <c r="J69" s="95">
        <f t="shared" si="5"/>
        <v>0</v>
      </c>
      <c r="K69" s="146"/>
      <c r="L69" s="89"/>
      <c r="M69" s="111"/>
      <c r="N69" s="134"/>
      <c r="O69" s="109">
        <f t="shared" si="3"/>
        <v>80000</v>
      </c>
      <c r="P69" s="136"/>
      <c r="Q69" s="94"/>
      <c r="R69" s="99">
        <f t="shared" si="6"/>
        <v>0</v>
      </c>
      <c r="S69" s="100"/>
      <c r="T69" s="101"/>
      <c r="U69" s="101"/>
      <c r="V69" s="128"/>
      <c r="W69" s="129"/>
    </row>
    <row r="70" spans="1:23" x14ac:dyDescent="0.35">
      <c r="A70" s="10">
        <f t="shared" si="11"/>
        <v>58</v>
      </c>
      <c r="B70" s="102">
        <f t="shared" si="11"/>
        <v>57</v>
      </c>
      <c r="C70" s="103"/>
      <c r="D70" s="104">
        <f t="shared" si="2"/>
        <v>0</v>
      </c>
      <c r="E70" s="91"/>
      <c r="F70" s="91"/>
      <c r="G70" s="135">
        <f>G69-E70</f>
        <v>0</v>
      </c>
      <c r="H70" s="94">
        <f>('[1]Consumption Guide'!G65*O70)/1000</f>
        <v>15600</v>
      </c>
      <c r="I70" s="106">
        <f t="shared" si="0"/>
        <v>-594720</v>
      </c>
      <c r="J70" s="95">
        <v>0</v>
      </c>
      <c r="K70" s="147"/>
      <c r="L70" s="148"/>
      <c r="M70" s="149"/>
      <c r="N70" s="134"/>
      <c r="O70" s="94">
        <f t="shared" si="3"/>
        <v>80000</v>
      </c>
      <c r="P70" s="99"/>
      <c r="Q70" s="94"/>
      <c r="R70" s="99">
        <f t="shared" si="6"/>
        <v>0</v>
      </c>
      <c r="S70" s="100"/>
      <c r="T70" s="101"/>
      <c r="U70" s="101"/>
      <c r="V70" s="83"/>
      <c r="W70" s="8"/>
    </row>
    <row r="71" spans="1:23" x14ac:dyDescent="0.35">
      <c r="A71" s="10">
        <f t="shared" si="11"/>
        <v>59</v>
      </c>
      <c r="B71" s="102">
        <f t="shared" si="11"/>
        <v>58</v>
      </c>
      <c r="C71" s="103"/>
      <c r="D71" s="104">
        <f t="shared" si="2"/>
        <v>0</v>
      </c>
      <c r="E71" s="91"/>
      <c r="F71" s="91"/>
      <c r="G71" s="91"/>
      <c r="H71" s="94">
        <f>('[1]Consumption Guide'!G66*O71)/1000</f>
        <v>15600</v>
      </c>
      <c r="I71" s="106">
        <f t="shared" si="0"/>
        <v>-610320</v>
      </c>
      <c r="J71" s="95">
        <f t="shared" si="5"/>
        <v>0</v>
      </c>
      <c r="K71" s="147"/>
      <c r="L71" s="148"/>
      <c r="M71" s="149"/>
      <c r="N71" s="134"/>
      <c r="O71" s="94">
        <f t="shared" si="3"/>
        <v>80000</v>
      </c>
      <c r="P71" s="136"/>
      <c r="Q71" s="94"/>
      <c r="R71" s="99">
        <f t="shared" si="6"/>
        <v>0</v>
      </c>
      <c r="S71" s="100"/>
      <c r="T71" s="101"/>
      <c r="U71" s="101"/>
      <c r="V71" s="83"/>
      <c r="W71" s="8"/>
    </row>
    <row r="72" spans="1:23" ht="24" thickBot="1" x14ac:dyDescent="0.4">
      <c r="A72" s="10">
        <f t="shared" si="11"/>
        <v>60</v>
      </c>
      <c r="B72" s="150"/>
      <c r="C72" s="151"/>
      <c r="D72" s="152">
        <f t="shared" si="2"/>
        <v>0</v>
      </c>
      <c r="E72" s="153"/>
      <c r="F72" s="153"/>
      <c r="G72" s="153"/>
      <c r="H72" s="154">
        <f>('[1]Consumption Guide'!G67*O72)/1000</f>
        <v>15600</v>
      </c>
      <c r="I72" s="155">
        <f t="shared" si="0"/>
        <v>-625920</v>
      </c>
      <c r="J72" s="156">
        <f t="shared" si="5"/>
        <v>0</v>
      </c>
      <c r="K72" s="157"/>
      <c r="L72" s="158"/>
      <c r="M72" s="159"/>
      <c r="N72" s="160"/>
      <c r="O72" s="154">
        <f t="shared" si="3"/>
        <v>80000</v>
      </c>
      <c r="P72" s="161"/>
      <c r="Q72" s="162"/>
      <c r="R72" s="99">
        <f t="shared" si="6"/>
        <v>0</v>
      </c>
      <c r="S72" s="100"/>
      <c r="T72" s="101"/>
      <c r="U72" s="101"/>
      <c r="V72" s="83"/>
      <c r="W72" s="8"/>
    </row>
    <row r="73" spans="1:23" x14ac:dyDescent="0.35">
      <c r="A73" s="75"/>
      <c r="B73" s="163"/>
      <c r="C73" s="164"/>
      <c r="D73" s="70"/>
      <c r="E73" s="70"/>
      <c r="F73" s="70"/>
      <c r="G73" s="70"/>
      <c r="H73" s="58"/>
      <c r="I73" s="58"/>
      <c r="J73" s="165"/>
      <c r="K73" s="166" t="s">
        <v>44</v>
      </c>
      <c r="L73" s="167"/>
      <c r="M73" s="168"/>
      <c r="N73" s="33">
        <f>N51</f>
        <v>0</v>
      </c>
      <c r="O73" s="58"/>
      <c r="P73" s="59"/>
      <c r="Q73" s="30"/>
      <c r="R73" s="30"/>
      <c r="S73" s="169"/>
      <c r="T73" s="82"/>
      <c r="U73" s="81"/>
      <c r="V73" s="83"/>
    </row>
    <row r="74" spans="1:23" x14ac:dyDescent="0.35">
      <c r="B74" s="170"/>
      <c r="C74" s="171"/>
      <c r="D74" s="3"/>
      <c r="E74" s="3"/>
      <c r="F74" s="3"/>
      <c r="G74" s="3"/>
      <c r="H74" s="30"/>
      <c r="I74" s="30"/>
      <c r="J74" s="1"/>
      <c r="K74" s="172" t="s">
        <v>45</v>
      </c>
      <c r="L74" s="173"/>
      <c r="M74" s="174"/>
      <c r="N74" s="175">
        <f>N44+N46+N47+N54+N55+N63+N64</f>
        <v>0</v>
      </c>
      <c r="O74" s="30"/>
      <c r="P74" s="14"/>
      <c r="Q74" s="30"/>
      <c r="R74" s="30"/>
      <c r="S74" s="81"/>
      <c r="T74" s="82"/>
      <c r="U74" s="81"/>
      <c r="V74" s="83"/>
    </row>
    <row r="75" spans="1:23" x14ac:dyDescent="0.35">
      <c r="B75" s="170"/>
      <c r="C75" s="176" t="s">
        <v>46</v>
      </c>
      <c r="D75" s="177"/>
      <c r="E75" s="178">
        <f>SUM(E12:E72)</f>
        <v>0</v>
      </c>
      <c r="F75" s="3"/>
      <c r="G75" s="3">
        <f>SUM(E47:E65)</f>
        <v>0</v>
      </c>
      <c r="H75" s="30"/>
      <c r="I75" s="30"/>
      <c r="J75" s="1"/>
      <c r="K75" s="165"/>
      <c r="L75" s="165"/>
      <c r="M75" s="165"/>
      <c r="N75" s="1"/>
      <c r="O75" s="30"/>
      <c r="P75" s="14"/>
      <c r="Q75" s="30"/>
      <c r="R75" s="30"/>
      <c r="S75" s="81"/>
      <c r="T75" s="82"/>
      <c r="U75" s="81"/>
      <c r="V75" s="83"/>
    </row>
    <row r="76" spans="1:23" x14ac:dyDescent="0.35">
      <c r="B76" s="170"/>
      <c r="C76" s="171"/>
      <c r="D76" s="3"/>
      <c r="E76" s="3"/>
      <c r="F76" s="3"/>
      <c r="G76" s="3"/>
      <c r="H76" s="30"/>
      <c r="I76" s="30"/>
      <c r="J76" s="1"/>
      <c r="K76" s="1"/>
      <c r="L76" s="1"/>
      <c r="M76" s="1"/>
      <c r="N76" s="1"/>
      <c r="O76" s="30"/>
      <c r="P76" s="14"/>
      <c r="Q76" s="30"/>
      <c r="R76" s="30"/>
      <c r="S76" s="81"/>
      <c r="T76" s="82"/>
      <c r="U76" s="81"/>
      <c r="V76" s="83"/>
    </row>
    <row r="77" spans="1:23" x14ac:dyDescent="0.35">
      <c r="B77" s="170"/>
      <c r="C77" s="171"/>
      <c r="D77" s="179">
        <f>E75/C2</f>
        <v>0</v>
      </c>
      <c r="E77" s="180" t="s">
        <v>47</v>
      </c>
      <c r="F77" s="3"/>
      <c r="G77" s="3"/>
      <c r="H77" s="30"/>
      <c r="I77" s="30"/>
      <c r="J77" s="1"/>
      <c r="K77" s="1"/>
      <c r="L77" s="1"/>
      <c r="M77" s="1"/>
      <c r="N77" s="1"/>
      <c r="O77" s="30"/>
      <c r="P77" s="14"/>
      <c r="Q77" s="30"/>
      <c r="R77" s="30"/>
      <c r="S77" s="81"/>
      <c r="T77" s="82"/>
      <c r="U77" s="81"/>
      <c r="V77" s="83"/>
    </row>
    <row r="78" spans="1:23" x14ac:dyDescent="0.35">
      <c r="B78" s="170"/>
      <c r="C78" s="171"/>
      <c r="D78" s="3"/>
      <c r="E78" s="3"/>
      <c r="F78" s="3"/>
      <c r="G78" s="3"/>
      <c r="H78" s="30"/>
      <c r="I78" s="30"/>
      <c r="J78" s="1"/>
      <c r="K78" s="1"/>
      <c r="L78" s="1"/>
      <c r="M78" s="1"/>
      <c r="N78" s="1"/>
      <c r="O78" s="30">
        <f>N33+N51</f>
        <v>0</v>
      </c>
      <c r="P78" s="14"/>
      <c r="Q78" s="30"/>
      <c r="R78" s="1"/>
      <c r="S78" s="81"/>
      <c r="T78" s="82"/>
      <c r="U78" s="81"/>
      <c r="V78" s="83"/>
    </row>
  </sheetData>
  <mergeCells count="65">
    <mergeCell ref="B71:C71"/>
    <mergeCell ref="B72:C72"/>
    <mergeCell ref="K73:M73"/>
    <mergeCell ref="K74:M74"/>
    <mergeCell ref="C75:D75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J3:M3"/>
    <mergeCell ref="J4:M4"/>
    <mergeCell ref="B13:C13"/>
    <mergeCell ref="B14:C14"/>
    <mergeCell ref="B15:C15"/>
    <mergeCell ref="B16:C16"/>
  </mergeCells>
  <conditionalFormatting sqref="I13:I72">
    <cfRule type="expression" dxfId="0" priority="1">
      <formula>$I13:$I72&lt;0.001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Coverdale</dc:creator>
  <cp:lastModifiedBy>Jason Coverdale</cp:lastModifiedBy>
  <dcterms:created xsi:type="dcterms:W3CDTF">2026-04-13T21:19:53Z</dcterms:created>
  <dcterms:modified xsi:type="dcterms:W3CDTF">2026-04-13T21:20:41Z</dcterms:modified>
</cp:coreProperties>
</file>