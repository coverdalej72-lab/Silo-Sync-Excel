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54c020b0909200/Desktop/"/>
    </mc:Choice>
  </mc:AlternateContent>
  <xr:revisionPtr revIDLastSave="0" documentId="8_{AA039D2D-ED82-5A47-9D7D-8E3CCABA9A4E}" xr6:coauthVersionLast="47" xr6:coauthVersionMax="47" xr10:uidLastSave="{00000000-0000-0000-0000-000000000000}"/>
  <bookViews>
    <workbookView xWindow="-120" yWindow="-120" windowWidth="29040" windowHeight="15840" tabRatio="881" activeTab="1" xr2:uid="{00000000-000D-0000-FFFF-FFFF00000000}"/>
  </bookViews>
  <sheets>
    <sheet name="Consumption Guide" sheetId="11" r:id="rId1"/>
    <sheet name=" SHED 1 &amp; 2" sheetId="43" r:id="rId2"/>
    <sheet name="SHED  3 &amp; 4 " sheetId="52" r:id="rId3"/>
    <sheet name="SHED  5 &amp; 6" sheetId="42" r:id="rId4"/>
    <sheet name="SHED 7 &amp; 8" sheetId="37" r:id="rId5"/>
    <sheet name="SHED 9 &amp; 10" sheetId="38" r:id="rId6"/>
    <sheet name="SHED 11 &amp; 12" sheetId="39" r:id="rId7"/>
    <sheet name="WEEKLY STOCK TAKE" sheetId="29" r:id="rId8"/>
    <sheet name="end of batch" sheetId="53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43" l="1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I30" i="29"/>
  <c r="Q37" i="53"/>
  <c r="I37" i="53"/>
  <c r="D37" i="53"/>
  <c r="X22" i="53"/>
  <c r="Y17" i="53"/>
  <c r="X17" i="53"/>
  <c r="S12" i="53"/>
  <c r="S19" i="53"/>
  <c r="A63" i="42"/>
  <c r="U64" i="43"/>
  <c r="AC14" i="43"/>
  <c r="AC15" i="43"/>
  <c r="AC16" i="43"/>
  <c r="AC17" i="43"/>
  <c r="AC18" i="43"/>
  <c r="AC19" i="43"/>
  <c r="AC20" i="43"/>
  <c r="AC21" i="43"/>
  <c r="AC22" i="43"/>
  <c r="AC23" i="43"/>
  <c r="AC24" i="43"/>
  <c r="AC25" i="43"/>
  <c r="AC26" i="43"/>
  <c r="AC27" i="43"/>
  <c r="AC28" i="43"/>
  <c r="AC29" i="43"/>
  <c r="AC30" i="43"/>
  <c r="AC31" i="43"/>
  <c r="AC32" i="43"/>
  <c r="AC33" i="43"/>
  <c r="AC34" i="43"/>
  <c r="AC35" i="43"/>
  <c r="AC36" i="43"/>
  <c r="AC37" i="43"/>
  <c r="AC38" i="43"/>
  <c r="AC39" i="43"/>
  <c r="AC40" i="43"/>
  <c r="AC41" i="43"/>
  <c r="AC42" i="43"/>
  <c r="AC43" i="43"/>
  <c r="AC44" i="43"/>
  <c r="AC45" i="43"/>
  <c r="AC46" i="43"/>
  <c r="AC47" i="43"/>
  <c r="AC48" i="43"/>
  <c r="AC49" i="43"/>
  <c r="AC50" i="43"/>
  <c r="AC51" i="43"/>
  <c r="AC52" i="43"/>
  <c r="AC53" i="43"/>
  <c r="AC54" i="43"/>
  <c r="AC55" i="43"/>
  <c r="AC56" i="43"/>
  <c r="AC57" i="43"/>
  <c r="AC58" i="43"/>
  <c r="AC59" i="43"/>
  <c r="AC60" i="43"/>
  <c r="AC61" i="43"/>
  <c r="AC62" i="43"/>
  <c r="AC63" i="43"/>
  <c r="AC64" i="43"/>
  <c r="H4" i="42"/>
  <c r="H3" i="42"/>
  <c r="H2" i="42"/>
  <c r="H4" i="52"/>
  <c r="H3" i="52"/>
  <c r="H2" i="52"/>
  <c r="O78" i="52"/>
  <c r="G75" i="52"/>
  <c r="E75" i="52"/>
  <c r="D77" i="52"/>
  <c r="N74" i="52"/>
  <c r="N73" i="52"/>
  <c r="J72" i="52"/>
  <c r="J71" i="52"/>
  <c r="J69" i="52"/>
  <c r="G69" i="52"/>
  <c r="G70" i="52"/>
  <c r="J68" i="52"/>
  <c r="J67" i="52"/>
  <c r="J66" i="52"/>
  <c r="J65" i="52"/>
  <c r="J64" i="52"/>
  <c r="J63" i="52"/>
  <c r="J62" i="52"/>
  <c r="J61" i="52"/>
  <c r="J60" i="52"/>
  <c r="J59" i="52"/>
  <c r="J57" i="52"/>
  <c r="J56" i="52"/>
  <c r="J55" i="52"/>
  <c r="J54" i="52"/>
  <c r="J53" i="52"/>
  <c r="J52" i="52"/>
  <c r="J51" i="52"/>
  <c r="J50" i="52"/>
  <c r="J49" i="52"/>
  <c r="J48" i="52"/>
  <c r="J47" i="52"/>
  <c r="J46" i="52"/>
  <c r="J45" i="52"/>
  <c r="J44" i="52"/>
  <c r="J43" i="52"/>
  <c r="J42" i="52"/>
  <c r="J41" i="52"/>
  <c r="J40" i="52"/>
  <c r="J39" i="52"/>
  <c r="J38" i="52"/>
  <c r="J37" i="52"/>
  <c r="J36" i="52"/>
  <c r="J35" i="52"/>
  <c r="J34" i="52"/>
  <c r="J33" i="52"/>
  <c r="J32" i="52"/>
  <c r="J31" i="52"/>
  <c r="J30" i="52"/>
  <c r="J29" i="52"/>
  <c r="J28" i="52"/>
  <c r="J27" i="52"/>
  <c r="J26" i="52"/>
  <c r="J25" i="52"/>
  <c r="J24" i="52"/>
  <c r="J23" i="52"/>
  <c r="G23" i="52"/>
  <c r="G24" i="52"/>
  <c r="G25" i="52"/>
  <c r="G26" i="52"/>
  <c r="G27" i="52"/>
  <c r="G28" i="52"/>
  <c r="G29" i="52"/>
  <c r="G30" i="52"/>
  <c r="G31" i="52"/>
  <c r="G32" i="52"/>
  <c r="G33" i="52"/>
  <c r="G34" i="52"/>
  <c r="G35" i="52"/>
  <c r="G36" i="52"/>
  <c r="J22" i="52"/>
  <c r="J21" i="52"/>
  <c r="A21" i="52"/>
  <c r="A22" i="52"/>
  <c r="A23" i="52"/>
  <c r="A24" i="52"/>
  <c r="A25" i="52"/>
  <c r="A26" i="52"/>
  <c r="A27" i="52"/>
  <c r="A28" i="52"/>
  <c r="A29" i="52"/>
  <c r="A30" i="52"/>
  <c r="A31" i="52"/>
  <c r="A32" i="52"/>
  <c r="A33" i="52"/>
  <c r="A34" i="52"/>
  <c r="A35" i="52"/>
  <c r="A36" i="52"/>
  <c r="A37" i="52"/>
  <c r="A38" i="52"/>
  <c r="A39" i="52"/>
  <c r="A40" i="52"/>
  <c r="A41" i="52"/>
  <c r="A42" i="52"/>
  <c r="A43" i="52"/>
  <c r="A44" i="52"/>
  <c r="A45" i="52"/>
  <c r="A46" i="52"/>
  <c r="A47" i="52"/>
  <c r="A48" i="52"/>
  <c r="A49" i="52"/>
  <c r="A50" i="52"/>
  <c r="A51" i="52"/>
  <c r="A52" i="52"/>
  <c r="A53" i="52"/>
  <c r="A54" i="52"/>
  <c r="A55" i="52"/>
  <c r="A56" i="52"/>
  <c r="A57" i="52"/>
  <c r="A58" i="52"/>
  <c r="A59" i="52"/>
  <c r="A60" i="52"/>
  <c r="A61" i="52"/>
  <c r="A62" i="52"/>
  <c r="A63" i="52"/>
  <c r="A64" i="52"/>
  <c r="A65" i="52"/>
  <c r="A66" i="52"/>
  <c r="A67" i="52"/>
  <c r="A68" i="52"/>
  <c r="A69" i="52"/>
  <c r="A70" i="52"/>
  <c r="A71" i="52"/>
  <c r="A72" i="52"/>
  <c r="J20" i="52"/>
  <c r="J19" i="52"/>
  <c r="J18" i="52"/>
  <c r="R17" i="52"/>
  <c r="R18" i="52"/>
  <c r="R19" i="52"/>
  <c r="R20" i="52"/>
  <c r="R21" i="52"/>
  <c r="R22" i="52"/>
  <c r="R23" i="52"/>
  <c r="R24" i="52"/>
  <c r="R25" i="52"/>
  <c r="R26" i="52"/>
  <c r="R27" i="52"/>
  <c r="R28" i="52"/>
  <c r="R29" i="52"/>
  <c r="R30" i="52"/>
  <c r="R31" i="52"/>
  <c r="R32" i="52"/>
  <c r="R33" i="52"/>
  <c r="R34" i="52"/>
  <c r="R35" i="52"/>
  <c r="R36" i="52"/>
  <c r="R37" i="52"/>
  <c r="R38" i="52"/>
  <c r="R39" i="52"/>
  <c r="R40" i="52"/>
  <c r="R41" i="52"/>
  <c r="R42" i="52"/>
  <c r="R43" i="52"/>
  <c r="R44" i="52"/>
  <c r="R45" i="52"/>
  <c r="R46" i="52"/>
  <c r="R47" i="52"/>
  <c r="R48" i="52"/>
  <c r="R49" i="52"/>
  <c r="R50" i="52"/>
  <c r="R51" i="52"/>
  <c r="R52" i="52"/>
  <c r="R53" i="52"/>
  <c r="R54" i="52"/>
  <c r="R55" i="52"/>
  <c r="R56" i="52"/>
  <c r="R57" i="52"/>
  <c r="R58" i="52"/>
  <c r="R59" i="52"/>
  <c r="R60" i="52"/>
  <c r="R61" i="52"/>
  <c r="R62" i="52"/>
  <c r="R63" i="52"/>
  <c r="R64" i="52"/>
  <c r="R65" i="52"/>
  <c r="R66" i="52"/>
  <c r="R67" i="52"/>
  <c r="R68" i="52"/>
  <c r="R69" i="52"/>
  <c r="R70" i="52"/>
  <c r="R71" i="52"/>
  <c r="R72" i="52"/>
  <c r="J17" i="52"/>
  <c r="J16" i="52"/>
  <c r="A16" i="52"/>
  <c r="A17" i="52"/>
  <c r="A18" i="52"/>
  <c r="A19" i="52"/>
  <c r="R15" i="52"/>
  <c r="R16" i="52"/>
  <c r="J15" i="52"/>
  <c r="A15" i="52"/>
  <c r="R14" i="52"/>
  <c r="J14" i="52"/>
  <c r="A14" i="52"/>
  <c r="O13" i="52"/>
  <c r="H13" i="52"/>
  <c r="I13" i="52"/>
  <c r="J13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44" i="52"/>
  <c r="D45" i="52"/>
  <c r="D46" i="52"/>
  <c r="D47" i="52"/>
  <c r="D48" i="52"/>
  <c r="D49" i="52"/>
  <c r="D50" i="52"/>
  <c r="D51" i="52"/>
  <c r="D52" i="52"/>
  <c r="D53" i="52"/>
  <c r="D54" i="52"/>
  <c r="D55" i="52"/>
  <c r="D56" i="52"/>
  <c r="D57" i="52"/>
  <c r="D58" i="52"/>
  <c r="D59" i="52"/>
  <c r="D60" i="52"/>
  <c r="D61" i="52"/>
  <c r="D62" i="52"/>
  <c r="D63" i="52"/>
  <c r="D64" i="52"/>
  <c r="D65" i="52"/>
  <c r="D66" i="52"/>
  <c r="D67" i="52"/>
  <c r="D68" i="52"/>
  <c r="D69" i="52"/>
  <c r="D70" i="52"/>
  <c r="D71" i="52"/>
  <c r="D72" i="52"/>
  <c r="B13" i="52"/>
  <c r="B14" i="52"/>
  <c r="B15" i="52"/>
  <c r="B16" i="52"/>
  <c r="B17" i="52"/>
  <c r="B18" i="52"/>
  <c r="B19" i="52"/>
  <c r="B20" i="52"/>
  <c r="B21" i="52"/>
  <c r="B22" i="52"/>
  <c r="B23" i="52"/>
  <c r="B24" i="52"/>
  <c r="B25" i="52"/>
  <c r="B26" i="52"/>
  <c r="B27" i="52"/>
  <c r="B28" i="52"/>
  <c r="B29" i="52"/>
  <c r="B30" i="52"/>
  <c r="B31" i="52"/>
  <c r="B32" i="52"/>
  <c r="B33" i="52"/>
  <c r="B34" i="52"/>
  <c r="B35" i="52"/>
  <c r="B36" i="52"/>
  <c r="B37" i="52"/>
  <c r="B38" i="52"/>
  <c r="B39" i="52"/>
  <c r="B40" i="52"/>
  <c r="B41" i="52"/>
  <c r="B42" i="52"/>
  <c r="B43" i="52"/>
  <c r="B44" i="52"/>
  <c r="B45" i="52"/>
  <c r="B46" i="52"/>
  <c r="B47" i="52"/>
  <c r="B48" i="52"/>
  <c r="B49" i="52"/>
  <c r="B50" i="52"/>
  <c r="B51" i="52"/>
  <c r="B52" i="52"/>
  <c r="B53" i="52"/>
  <c r="B54" i="52"/>
  <c r="B55" i="52"/>
  <c r="B56" i="52"/>
  <c r="B57" i="52"/>
  <c r="B58" i="52"/>
  <c r="B59" i="52"/>
  <c r="B60" i="52"/>
  <c r="B61" i="52"/>
  <c r="B62" i="52"/>
  <c r="B63" i="52"/>
  <c r="B64" i="52"/>
  <c r="B65" i="52"/>
  <c r="B66" i="52"/>
  <c r="B67" i="52"/>
  <c r="B68" i="52"/>
  <c r="B69" i="52"/>
  <c r="B70" i="52"/>
  <c r="B71" i="52"/>
  <c r="J12" i="52"/>
  <c r="I12" i="52"/>
  <c r="H5" i="52"/>
  <c r="G37" i="52"/>
  <c r="G38" i="52"/>
  <c r="G39" i="52"/>
  <c r="G40" i="52"/>
  <c r="G41" i="52"/>
  <c r="G42" i="52"/>
  <c r="G43" i="52"/>
  <c r="G44" i="52"/>
  <c r="G12" i="52"/>
  <c r="G13" i="52"/>
  <c r="G14" i="52"/>
  <c r="G15" i="52"/>
  <c r="G16" i="52"/>
  <c r="G17" i="52"/>
  <c r="G18" i="52"/>
  <c r="G19" i="52"/>
  <c r="G20" i="52"/>
  <c r="G21" i="52"/>
  <c r="O14" i="52"/>
  <c r="O15" i="52"/>
  <c r="H14" i="52"/>
  <c r="I14" i="52"/>
  <c r="H15" i="52"/>
  <c r="I15" i="52"/>
  <c r="O16" i="52"/>
  <c r="O17" i="52"/>
  <c r="H16" i="52"/>
  <c r="I16" i="52"/>
  <c r="O18" i="52"/>
  <c r="H17" i="52"/>
  <c r="I17" i="52"/>
  <c r="O19" i="52"/>
  <c r="H18" i="52"/>
  <c r="I18" i="52"/>
  <c r="A53" i="39"/>
  <c r="O20" i="52"/>
  <c r="H19" i="52"/>
  <c r="I19" i="52"/>
  <c r="Z78" i="43"/>
  <c r="R75" i="43"/>
  <c r="P75" i="43"/>
  <c r="Y74" i="43"/>
  <c r="Y73" i="43"/>
  <c r="U72" i="43"/>
  <c r="U71" i="43"/>
  <c r="R69" i="43"/>
  <c r="R70" i="43"/>
  <c r="U69" i="43"/>
  <c r="U68" i="43"/>
  <c r="U67" i="43"/>
  <c r="U66" i="43"/>
  <c r="U65" i="43"/>
  <c r="U63" i="43"/>
  <c r="U62" i="43"/>
  <c r="U60" i="43"/>
  <c r="U59" i="43"/>
  <c r="U58" i="43"/>
  <c r="U57" i="43"/>
  <c r="U56" i="43"/>
  <c r="U55" i="43"/>
  <c r="U54" i="43"/>
  <c r="U53" i="43"/>
  <c r="U52" i="43"/>
  <c r="U51" i="43"/>
  <c r="U50" i="43"/>
  <c r="U49" i="43"/>
  <c r="U48" i="43"/>
  <c r="U47" i="43"/>
  <c r="U46" i="43"/>
  <c r="U45" i="43"/>
  <c r="U44" i="43"/>
  <c r="U43" i="43"/>
  <c r="U42" i="43"/>
  <c r="U41" i="43"/>
  <c r="U40" i="43"/>
  <c r="U39" i="43"/>
  <c r="U38" i="43"/>
  <c r="U37" i="43"/>
  <c r="U36" i="43"/>
  <c r="U35" i="43"/>
  <c r="U34" i="43"/>
  <c r="U33" i="43"/>
  <c r="U32" i="43"/>
  <c r="U31" i="43"/>
  <c r="U30" i="43"/>
  <c r="U29" i="43"/>
  <c r="U28" i="43"/>
  <c r="U27" i="43"/>
  <c r="U26" i="43"/>
  <c r="U25" i="43"/>
  <c r="U24" i="43"/>
  <c r="U23" i="43"/>
  <c r="U22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U21" i="43"/>
  <c r="U20" i="43"/>
  <c r="U19" i="43"/>
  <c r="U17" i="43"/>
  <c r="U16" i="43"/>
  <c r="A14" i="43"/>
  <c r="A15" i="43"/>
  <c r="A16" i="43"/>
  <c r="A17" i="43"/>
  <c r="A18" i="43"/>
  <c r="A19" i="43"/>
  <c r="AC65" i="43"/>
  <c r="AC66" i="43"/>
  <c r="AC67" i="43"/>
  <c r="AC68" i="43"/>
  <c r="AC69" i="43"/>
  <c r="AC70" i="43"/>
  <c r="AC71" i="43"/>
  <c r="AC72" i="43"/>
  <c r="U15" i="43"/>
  <c r="U14" i="43"/>
  <c r="U13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U12" i="43"/>
  <c r="T12" i="43"/>
  <c r="N2" i="43"/>
  <c r="O78" i="42"/>
  <c r="G75" i="42"/>
  <c r="E75" i="42"/>
  <c r="D77" i="42"/>
  <c r="N74" i="42"/>
  <c r="N73" i="42"/>
  <c r="J72" i="42"/>
  <c r="J71" i="42"/>
  <c r="J69" i="42"/>
  <c r="G69" i="42"/>
  <c r="G70" i="42"/>
  <c r="J68" i="42"/>
  <c r="J67" i="42"/>
  <c r="J66" i="42"/>
  <c r="J65" i="42"/>
  <c r="J64" i="42"/>
  <c r="J63" i="42"/>
  <c r="J62" i="42"/>
  <c r="J61" i="42"/>
  <c r="J60" i="42"/>
  <c r="J59" i="42"/>
  <c r="J57" i="42"/>
  <c r="J56" i="42"/>
  <c r="J55" i="42"/>
  <c r="J54" i="42"/>
  <c r="J53" i="42"/>
  <c r="J52" i="42"/>
  <c r="J51" i="42"/>
  <c r="J50" i="42"/>
  <c r="J49" i="42"/>
  <c r="J48" i="42"/>
  <c r="J47" i="42"/>
  <c r="J46" i="42"/>
  <c r="J45" i="42"/>
  <c r="J44" i="42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A49" i="42"/>
  <c r="A50" i="42"/>
  <c r="A51" i="42"/>
  <c r="A52" i="42"/>
  <c r="A53" i="42"/>
  <c r="A54" i="42"/>
  <c r="A55" i="42"/>
  <c r="A56" i="42"/>
  <c r="A57" i="42"/>
  <c r="A58" i="42"/>
  <c r="A59" i="42"/>
  <c r="A60" i="42"/>
  <c r="A61" i="42"/>
  <c r="A62" i="42"/>
  <c r="A64" i="42"/>
  <c r="A65" i="42"/>
  <c r="A66" i="42"/>
  <c r="A67" i="42"/>
  <c r="A68" i="42"/>
  <c r="A69" i="42"/>
  <c r="A70" i="42"/>
  <c r="A71" i="42"/>
  <c r="A72" i="42"/>
  <c r="J21" i="42"/>
  <c r="J20" i="42"/>
  <c r="J19" i="42"/>
  <c r="J18" i="42"/>
  <c r="J17" i="42"/>
  <c r="J16" i="42"/>
  <c r="J15" i="42"/>
  <c r="A14" i="42"/>
  <c r="A15" i="42"/>
  <c r="A16" i="42"/>
  <c r="A17" i="42"/>
  <c r="A18" i="42"/>
  <c r="A19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7" i="42"/>
  <c r="R48" i="42"/>
  <c r="R49" i="42"/>
  <c r="R50" i="42"/>
  <c r="R51" i="42"/>
  <c r="R52" i="42"/>
  <c r="R53" i="42"/>
  <c r="R54" i="42"/>
  <c r="R55" i="42"/>
  <c r="R56" i="42"/>
  <c r="R57" i="42"/>
  <c r="R58" i="42"/>
  <c r="R59" i="42"/>
  <c r="R60" i="42"/>
  <c r="R61" i="42"/>
  <c r="R62" i="42"/>
  <c r="R63" i="42"/>
  <c r="R64" i="42"/>
  <c r="R65" i="42"/>
  <c r="R66" i="42"/>
  <c r="R67" i="42"/>
  <c r="R68" i="42"/>
  <c r="R69" i="42"/>
  <c r="R70" i="42"/>
  <c r="R71" i="42"/>
  <c r="R72" i="42"/>
  <c r="J14" i="42"/>
  <c r="J13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63" i="42"/>
  <c r="B64" i="42"/>
  <c r="B65" i="42"/>
  <c r="B66" i="42"/>
  <c r="B67" i="42"/>
  <c r="B68" i="42"/>
  <c r="B69" i="42"/>
  <c r="B70" i="42"/>
  <c r="B71" i="42"/>
  <c r="J12" i="42"/>
  <c r="I12" i="42"/>
  <c r="G12" i="42"/>
  <c r="G13" i="42"/>
  <c r="G14" i="42"/>
  <c r="G15" i="42"/>
  <c r="G16" i="42"/>
  <c r="G17" i="42"/>
  <c r="G18" i="42"/>
  <c r="G19" i="42"/>
  <c r="G20" i="42"/>
  <c r="G21" i="42"/>
  <c r="O78" i="39"/>
  <c r="G75" i="39"/>
  <c r="E75" i="39"/>
  <c r="N74" i="39"/>
  <c r="N73" i="39"/>
  <c r="J72" i="39"/>
  <c r="J71" i="39"/>
  <c r="J69" i="39"/>
  <c r="G69" i="39"/>
  <c r="G70" i="39"/>
  <c r="J68" i="39"/>
  <c r="J67" i="39"/>
  <c r="J66" i="39"/>
  <c r="J65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A21" i="39"/>
  <c r="A22" i="39"/>
  <c r="A23" i="39"/>
  <c r="A24" i="39"/>
  <c r="A25" i="39"/>
  <c r="A26" i="39"/>
  <c r="A27" i="39"/>
  <c r="A28" i="39"/>
  <c r="A29" i="39"/>
  <c r="A30" i="39"/>
  <c r="A31" i="39"/>
  <c r="A32" i="39"/>
  <c r="A33" i="39"/>
  <c r="A34" i="39"/>
  <c r="A35" i="39"/>
  <c r="A36" i="39"/>
  <c r="A37" i="39"/>
  <c r="A38" i="39"/>
  <c r="A39" i="39"/>
  <c r="A40" i="39"/>
  <c r="A41" i="39"/>
  <c r="A42" i="39"/>
  <c r="A43" i="39"/>
  <c r="A44" i="39"/>
  <c r="A45" i="39"/>
  <c r="A46" i="39"/>
  <c r="A47" i="39"/>
  <c r="A48" i="39"/>
  <c r="A49" i="39"/>
  <c r="A50" i="39"/>
  <c r="A51" i="39"/>
  <c r="A52" i="39"/>
  <c r="A54" i="39"/>
  <c r="A55" i="39"/>
  <c r="A56" i="39"/>
  <c r="A57" i="39"/>
  <c r="A58" i="39"/>
  <c r="A59" i="39"/>
  <c r="A60" i="39"/>
  <c r="A61" i="39"/>
  <c r="A62" i="39"/>
  <c r="A63" i="39"/>
  <c r="A64" i="39"/>
  <c r="A65" i="39"/>
  <c r="A66" i="39"/>
  <c r="A67" i="39"/>
  <c r="A68" i="39"/>
  <c r="A69" i="39"/>
  <c r="A70" i="39"/>
  <c r="A71" i="39"/>
  <c r="A72" i="39"/>
  <c r="J21" i="39"/>
  <c r="J20" i="39"/>
  <c r="J19" i="39"/>
  <c r="J18" i="39"/>
  <c r="J17" i="39"/>
  <c r="J16" i="39"/>
  <c r="R14" i="39"/>
  <c r="R15" i="39"/>
  <c r="R16" i="39"/>
  <c r="R17" i="39"/>
  <c r="R18" i="39"/>
  <c r="R19" i="39"/>
  <c r="R20" i="39"/>
  <c r="R21" i="39"/>
  <c r="R22" i="39"/>
  <c r="R23" i="39"/>
  <c r="R24" i="39"/>
  <c r="R25" i="39"/>
  <c r="R26" i="39"/>
  <c r="R27" i="39"/>
  <c r="R28" i="39"/>
  <c r="R29" i="39"/>
  <c r="R30" i="39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5" i="39"/>
  <c r="R56" i="39"/>
  <c r="R57" i="39"/>
  <c r="R58" i="39"/>
  <c r="R59" i="39"/>
  <c r="R60" i="39"/>
  <c r="R61" i="39"/>
  <c r="R62" i="39"/>
  <c r="R63" i="39"/>
  <c r="R64" i="39"/>
  <c r="R65" i="39"/>
  <c r="R66" i="39"/>
  <c r="R67" i="39"/>
  <c r="R68" i="39"/>
  <c r="R69" i="39"/>
  <c r="R70" i="39"/>
  <c r="R71" i="39"/>
  <c r="R72" i="39"/>
  <c r="J15" i="39"/>
  <c r="J14" i="39"/>
  <c r="A14" i="39"/>
  <c r="A15" i="39"/>
  <c r="A16" i="39"/>
  <c r="A17" i="39"/>
  <c r="A18" i="39"/>
  <c r="A19" i="39"/>
  <c r="J13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64" i="39"/>
  <c r="B65" i="39"/>
  <c r="B66" i="39"/>
  <c r="B67" i="39"/>
  <c r="B68" i="39"/>
  <c r="B69" i="39"/>
  <c r="B70" i="39"/>
  <c r="B71" i="39"/>
  <c r="J12" i="39"/>
  <c r="I12" i="39"/>
  <c r="C2" i="39"/>
  <c r="O78" i="38"/>
  <c r="G75" i="38"/>
  <c r="E75" i="38"/>
  <c r="N74" i="38"/>
  <c r="N73" i="38"/>
  <c r="J72" i="38"/>
  <c r="J71" i="38"/>
  <c r="J69" i="38"/>
  <c r="G69" i="38"/>
  <c r="G70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30" i="38"/>
  <c r="J29" i="38"/>
  <c r="J28" i="38"/>
  <c r="J27" i="38"/>
  <c r="J26" i="38"/>
  <c r="J25" i="38"/>
  <c r="J24" i="38"/>
  <c r="J23" i="38"/>
  <c r="J22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40" i="38"/>
  <c r="A41" i="38"/>
  <c r="A42" i="38"/>
  <c r="A43" i="38"/>
  <c r="A44" i="38"/>
  <c r="A45" i="38"/>
  <c r="A46" i="38"/>
  <c r="A47" i="38"/>
  <c r="A48" i="38"/>
  <c r="A49" i="38"/>
  <c r="A50" i="38"/>
  <c r="A51" i="38"/>
  <c r="A52" i="38"/>
  <c r="A53" i="38"/>
  <c r="A54" i="38"/>
  <c r="A55" i="38"/>
  <c r="A56" i="38"/>
  <c r="A57" i="38"/>
  <c r="A58" i="38"/>
  <c r="A59" i="38"/>
  <c r="A60" i="38"/>
  <c r="A61" i="38"/>
  <c r="A62" i="38"/>
  <c r="A63" i="38"/>
  <c r="A64" i="38"/>
  <c r="A65" i="38"/>
  <c r="A66" i="38"/>
  <c r="A67" i="38"/>
  <c r="A68" i="38"/>
  <c r="A69" i="38"/>
  <c r="A70" i="38"/>
  <c r="A71" i="38"/>
  <c r="A72" i="38"/>
  <c r="J21" i="38"/>
  <c r="J20" i="38"/>
  <c r="J19" i="38"/>
  <c r="J18" i="38"/>
  <c r="J17" i="38"/>
  <c r="J16" i="38"/>
  <c r="J15" i="38"/>
  <c r="A14" i="38"/>
  <c r="A15" i="38"/>
  <c r="A16" i="38"/>
  <c r="A17" i="38"/>
  <c r="A18" i="38"/>
  <c r="A19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8" i="38"/>
  <c r="R39" i="38"/>
  <c r="R40" i="38"/>
  <c r="R41" i="38"/>
  <c r="R42" i="38"/>
  <c r="R43" i="38"/>
  <c r="R44" i="38"/>
  <c r="R45" i="38"/>
  <c r="R46" i="38"/>
  <c r="R47" i="38"/>
  <c r="R48" i="38"/>
  <c r="R49" i="38"/>
  <c r="R50" i="38"/>
  <c r="R51" i="38"/>
  <c r="R52" i="38"/>
  <c r="R53" i="38"/>
  <c r="R54" i="38"/>
  <c r="R55" i="38"/>
  <c r="R56" i="38"/>
  <c r="R57" i="38"/>
  <c r="R58" i="38"/>
  <c r="R59" i="38"/>
  <c r="R60" i="38"/>
  <c r="R61" i="38"/>
  <c r="R62" i="38"/>
  <c r="R63" i="38"/>
  <c r="R64" i="38"/>
  <c r="R65" i="38"/>
  <c r="R66" i="38"/>
  <c r="R67" i="38"/>
  <c r="R68" i="38"/>
  <c r="R69" i="38"/>
  <c r="R70" i="38"/>
  <c r="R71" i="38"/>
  <c r="R72" i="38"/>
  <c r="J14" i="38"/>
  <c r="J13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J12" i="38"/>
  <c r="I12" i="38"/>
  <c r="O78" i="37"/>
  <c r="G75" i="37"/>
  <c r="E75" i="37"/>
  <c r="N74" i="37"/>
  <c r="N73" i="37"/>
  <c r="J72" i="37"/>
  <c r="J71" i="37"/>
  <c r="J69" i="37"/>
  <c r="G69" i="37"/>
  <c r="G70" i="37"/>
  <c r="J68" i="37"/>
  <c r="J67" i="37"/>
  <c r="J66" i="37"/>
  <c r="J65" i="37"/>
  <c r="J64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A21" i="37"/>
  <c r="A22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5" i="37"/>
  <c r="A36" i="37"/>
  <c r="A37" i="37"/>
  <c r="A38" i="37"/>
  <c r="A39" i="37"/>
  <c r="A40" i="37"/>
  <c r="A41" i="37"/>
  <c r="A42" i="37"/>
  <c r="A43" i="37"/>
  <c r="A44" i="37"/>
  <c r="A45" i="37"/>
  <c r="A46" i="37"/>
  <c r="A47" i="37"/>
  <c r="A48" i="37"/>
  <c r="A49" i="37"/>
  <c r="A50" i="37"/>
  <c r="A51" i="37"/>
  <c r="A52" i="37"/>
  <c r="A53" i="37"/>
  <c r="A54" i="37"/>
  <c r="A55" i="37"/>
  <c r="A56" i="37"/>
  <c r="A57" i="37"/>
  <c r="A58" i="37"/>
  <c r="A59" i="37"/>
  <c r="A60" i="37"/>
  <c r="A61" i="37"/>
  <c r="A62" i="37"/>
  <c r="A63" i="37"/>
  <c r="A64" i="37"/>
  <c r="A65" i="37"/>
  <c r="A66" i="37"/>
  <c r="A67" i="37"/>
  <c r="A68" i="37"/>
  <c r="A69" i="37"/>
  <c r="A70" i="37"/>
  <c r="A71" i="37"/>
  <c r="A72" i="37"/>
  <c r="J20" i="37"/>
  <c r="J19" i="37"/>
  <c r="J18" i="37"/>
  <c r="J17" i="37"/>
  <c r="J16" i="37"/>
  <c r="R14" i="37"/>
  <c r="R15" i="37"/>
  <c r="R16" i="37"/>
  <c r="R17" i="37"/>
  <c r="R18" i="37"/>
  <c r="R19" i="37"/>
  <c r="R20" i="37"/>
  <c r="R21" i="37"/>
  <c r="R22" i="37"/>
  <c r="R23" i="37"/>
  <c r="R24" i="37"/>
  <c r="R25" i="37"/>
  <c r="R26" i="37"/>
  <c r="R27" i="37"/>
  <c r="R28" i="37"/>
  <c r="R29" i="37"/>
  <c r="R30" i="37"/>
  <c r="R31" i="37"/>
  <c r="R32" i="37"/>
  <c r="R33" i="37"/>
  <c r="R34" i="37"/>
  <c r="R35" i="37"/>
  <c r="R36" i="37"/>
  <c r="R37" i="37"/>
  <c r="R38" i="37"/>
  <c r="R39" i="37"/>
  <c r="R40" i="37"/>
  <c r="R41" i="37"/>
  <c r="R42" i="37"/>
  <c r="R43" i="37"/>
  <c r="R44" i="37"/>
  <c r="R45" i="37"/>
  <c r="R46" i="37"/>
  <c r="R47" i="37"/>
  <c r="R48" i="37"/>
  <c r="R49" i="37"/>
  <c r="R50" i="37"/>
  <c r="R51" i="37"/>
  <c r="R52" i="37"/>
  <c r="R53" i="37"/>
  <c r="R54" i="37"/>
  <c r="R55" i="37"/>
  <c r="R56" i="37"/>
  <c r="R57" i="37"/>
  <c r="R58" i="37"/>
  <c r="R59" i="37"/>
  <c r="R60" i="37"/>
  <c r="R61" i="37"/>
  <c r="R62" i="37"/>
  <c r="R63" i="37"/>
  <c r="R64" i="37"/>
  <c r="R65" i="37"/>
  <c r="R66" i="37"/>
  <c r="R67" i="37"/>
  <c r="R68" i="37"/>
  <c r="R69" i="37"/>
  <c r="R70" i="37"/>
  <c r="R71" i="37"/>
  <c r="R72" i="37"/>
  <c r="J15" i="37"/>
  <c r="A14" i="37"/>
  <c r="A15" i="37"/>
  <c r="A16" i="37"/>
  <c r="A17" i="37"/>
  <c r="A18" i="37"/>
  <c r="A19" i="37"/>
  <c r="J14" i="37"/>
  <c r="J13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J12" i="37"/>
  <c r="I12" i="37"/>
  <c r="C2" i="37"/>
  <c r="H5" i="42"/>
  <c r="G37" i="42"/>
  <c r="G38" i="42"/>
  <c r="G39" i="42"/>
  <c r="G40" i="42"/>
  <c r="G41" i="42"/>
  <c r="G42" i="42"/>
  <c r="G43" i="42"/>
  <c r="G44" i="42"/>
  <c r="G23" i="42"/>
  <c r="G24" i="42"/>
  <c r="G25" i="42"/>
  <c r="G26" i="42"/>
  <c r="G27" i="42"/>
  <c r="G28" i="42"/>
  <c r="G29" i="42"/>
  <c r="G30" i="42"/>
  <c r="G31" i="42"/>
  <c r="G32" i="42"/>
  <c r="G33" i="42"/>
  <c r="G34" i="42"/>
  <c r="G35" i="42"/>
  <c r="G36" i="42"/>
  <c r="O13" i="42"/>
  <c r="O14" i="42"/>
  <c r="D8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" i="11"/>
  <c r="E5" i="11"/>
  <c r="H14" i="11"/>
  <c r="H21" i="11"/>
  <c r="H28" i="11"/>
  <c r="H35" i="11"/>
  <c r="H42" i="11"/>
  <c r="H49" i="11"/>
  <c r="D51" i="11"/>
  <c r="D52" i="11"/>
  <c r="D53" i="11"/>
  <c r="D54" i="11"/>
  <c r="D55" i="11"/>
  <c r="D56" i="11"/>
  <c r="H56" i="11"/>
  <c r="D57" i="11"/>
  <c r="D58" i="11"/>
  <c r="B59" i="11"/>
  <c r="C59" i="11"/>
  <c r="D59" i="11"/>
  <c r="B60" i="11"/>
  <c r="C60" i="11"/>
  <c r="D60" i="11"/>
  <c r="B61" i="11"/>
  <c r="C61" i="11"/>
  <c r="D61" i="11"/>
  <c r="B62" i="11"/>
  <c r="C62" i="11"/>
  <c r="D62" i="11"/>
  <c r="B63" i="11"/>
  <c r="C63" i="11"/>
  <c r="D63" i="11"/>
  <c r="H63" i="11"/>
  <c r="B64" i="11"/>
  <c r="C64" i="11"/>
  <c r="D64" i="11"/>
  <c r="B65" i="11"/>
  <c r="C65" i="11"/>
  <c r="D65" i="11"/>
  <c r="B66" i="11"/>
  <c r="C66" i="11"/>
  <c r="D66" i="11"/>
  <c r="B67" i="11"/>
  <c r="C67" i="11"/>
  <c r="D67" i="11"/>
  <c r="B68" i="11"/>
  <c r="C68" i="11"/>
  <c r="E68" i="11"/>
  <c r="D68" i="11"/>
  <c r="B69" i="11"/>
  <c r="C69" i="11"/>
  <c r="E69" i="11"/>
  <c r="D69" i="11"/>
  <c r="B70" i="11"/>
  <c r="C70" i="11"/>
  <c r="E70" i="11"/>
  <c r="D70" i="11"/>
  <c r="B71" i="11"/>
  <c r="C71" i="11"/>
  <c r="E71" i="11"/>
  <c r="D71" i="11"/>
  <c r="B72" i="11"/>
  <c r="C72" i="11"/>
  <c r="E72" i="11"/>
  <c r="D72" i="11"/>
  <c r="B73" i="11"/>
  <c r="C73" i="11"/>
  <c r="E73" i="11"/>
  <c r="D73" i="11"/>
  <c r="B74" i="11"/>
  <c r="C74" i="11"/>
  <c r="E74" i="11"/>
  <c r="D74" i="11"/>
  <c r="B75" i="11"/>
  <c r="C75" i="11"/>
  <c r="E75" i="11"/>
  <c r="D75" i="11"/>
  <c r="B76" i="11"/>
  <c r="C76" i="11"/>
  <c r="E76" i="11"/>
  <c r="D76" i="11"/>
  <c r="B77" i="11"/>
  <c r="C77" i="11"/>
  <c r="E77" i="11"/>
  <c r="D77" i="11"/>
  <c r="H4" i="39"/>
  <c r="G37" i="39"/>
  <c r="G38" i="39"/>
  <c r="G39" i="39"/>
  <c r="G40" i="39"/>
  <c r="G41" i="39"/>
  <c r="G42" i="39"/>
  <c r="G43" i="39"/>
  <c r="G44" i="39"/>
  <c r="H2" i="39"/>
  <c r="G12" i="39"/>
  <c r="G13" i="39"/>
  <c r="G14" i="39"/>
  <c r="G15" i="39"/>
  <c r="G16" i="39"/>
  <c r="G17" i="39"/>
  <c r="G18" i="39"/>
  <c r="G19" i="39"/>
  <c r="G20" i="39"/>
  <c r="G21" i="39"/>
  <c r="H3" i="39"/>
  <c r="G23" i="39"/>
  <c r="G24" i="39"/>
  <c r="G25" i="39"/>
  <c r="G26" i="39"/>
  <c r="G28" i="39"/>
  <c r="G29" i="39"/>
  <c r="G30" i="39"/>
  <c r="G31" i="39"/>
  <c r="G32" i="39"/>
  <c r="G33" i="39"/>
  <c r="G34" i="39"/>
  <c r="G35" i="39"/>
  <c r="G36" i="39"/>
  <c r="H2" i="38"/>
  <c r="G12" i="38"/>
  <c r="G13" i="38"/>
  <c r="G14" i="38"/>
  <c r="G15" i="38"/>
  <c r="G16" i="38"/>
  <c r="G17" i="38"/>
  <c r="G18" i="38"/>
  <c r="G19" i="38"/>
  <c r="G20" i="38"/>
  <c r="G21" i="38"/>
  <c r="H4" i="38"/>
  <c r="G37" i="38"/>
  <c r="G38" i="38"/>
  <c r="G39" i="38"/>
  <c r="G40" i="38"/>
  <c r="G41" i="38"/>
  <c r="G42" i="38"/>
  <c r="G43" i="38"/>
  <c r="G44" i="38"/>
  <c r="H3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H3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H2" i="37"/>
  <c r="G12" i="37"/>
  <c r="G13" i="37"/>
  <c r="G14" i="37"/>
  <c r="G15" i="37"/>
  <c r="G16" i="37"/>
  <c r="G17" i="37"/>
  <c r="G18" i="37"/>
  <c r="G19" i="37"/>
  <c r="G20" i="37"/>
  <c r="G21" i="37"/>
  <c r="H4" i="37"/>
  <c r="G37" i="37"/>
  <c r="G38" i="37"/>
  <c r="G39" i="37"/>
  <c r="G40" i="37"/>
  <c r="G41" i="37"/>
  <c r="G42" i="37"/>
  <c r="G43" i="37"/>
  <c r="G44" i="37"/>
  <c r="S2" i="43"/>
  <c r="R12" i="43"/>
  <c r="R13" i="43"/>
  <c r="R14" i="43"/>
  <c r="R15" i="43"/>
  <c r="R16" i="43"/>
  <c r="R17" i="43"/>
  <c r="R18" i="43"/>
  <c r="R19" i="43"/>
  <c r="R20" i="43"/>
  <c r="R21" i="43"/>
  <c r="S4" i="43"/>
  <c r="R37" i="43"/>
  <c r="R38" i="43"/>
  <c r="R39" i="43"/>
  <c r="R40" i="43"/>
  <c r="R41" i="43"/>
  <c r="R42" i="43"/>
  <c r="R43" i="43"/>
  <c r="R44" i="43"/>
  <c r="S3" i="43"/>
  <c r="R23" i="43"/>
  <c r="R24" i="43"/>
  <c r="R25" i="43"/>
  <c r="R26" i="43"/>
  <c r="R27" i="43"/>
  <c r="R28" i="43"/>
  <c r="R29" i="43"/>
  <c r="R30" i="43"/>
  <c r="R31" i="43"/>
  <c r="R32" i="43"/>
  <c r="R33" i="43"/>
  <c r="R34" i="43"/>
  <c r="R35" i="43"/>
  <c r="R36" i="43"/>
  <c r="B64" i="43"/>
  <c r="B65" i="43"/>
  <c r="B66" i="43"/>
  <c r="B67" i="43"/>
  <c r="B68" i="43"/>
  <c r="B69" i="43"/>
  <c r="B70" i="43"/>
  <c r="B71" i="43"/>
  <c r="O64" i="43"/>
  <c r="O65" i="43"/>
  <c r="O66" i="43"/>
  <c r="O67" i="43"/>
  <c r="O68" i="43"/>
  <c r="O69" i="43"/>
  <c r="O70" i="43"/>
  <c r="O71" i="43"/>
  <c r="O72" i="43"/>
  <c r="H5" i="38"/>
  <c r="Z13" i="43"/>
  <c r="Z14" i="43"/>
  <c r="S14" i="43"/>
  <c r="O21" i="52"/>
  <c r="H20" i="52"/>
  <c r="I20" i="52"/>
  <c r="H13" i="42"/>
  <c r="I13" i="42"/>
  <c r="D77" i="39"/>
  <c r="O13" i="39"/>
  <c r="O14" i="39"/>
  <c r="O15" i="39"/>
  <c r="H5" i="39"/>
  <c r="O13" i="38"/>
  <c r="H13" i="38"/>
  <c r="I13" i="38"/>
  <c r="D77" i="38"/>
  <c r="S5" i="43"/>
  <c r="O77" i="43"/>
  <c r="O13" i="37"/>
  <c r="H13" i="37"/>
  <c r="I13" i="37"/>
  <c r="D77" i="37"/>
  <c r="H5" i="37"/>
  <c r="O15" i="42"/>
  <c r="H14" i="42"/>
  <c r="O14" i="38"/>
  <c r="O15" i="38"/>
  <c r="I14" i="42"/>
  <c r="Z15" i="43"/>
  <c r="Z16" i="43"/>
  <c r="S13" i="43"/>
  <c r="T13" i="43"/>
  <c r="T14" i="43"/>
  <c r="H21" i="52"/>
  <c r="I21" i="52"/>
  <c r="O22" i="52"/>
  <c r="H13" i="39"/>
  <c r="I13" i="39"/>
  <c r="H14" i="39"/>
  <c r="O14" i="37"/>
  <c r="O15" i="37"/>
  <c r="O16" i="39"/>
  <c r="H15" i="39"/>
  <c r="O16" i="42"/>
  <c r="H15" i="42"/>
  <c r="H14" i="38"/>
  <c r="I14" i="38"/>
  <c r="I15" i="42"/>
  <c r="S15" i="43"/>
  <c r="T15" i="43"/>
  <c r="H22" i="52"/>
  <c r="I22" i="52"/>
  <c r="O23" i="52"/>
  <c r="I14" i="39"/>
  <c r="I15" i="39"/>
  <c r="H14" i="37"/>
  <c r="I14" i="37"/>
  <c r="O17" i="39"/>
  <c r="H16" i="39"/>
  <c r="O16" i="38"/>
  <c r="H15" i="38"/>
  <c r="O16" i="37"/>
  <c r="H15" i="37"/>
  <c r="O17" i="42"/>
  <c r="H16" i="42"/>
  <c r="S16" i="43"/>
  <c r="Z17" i="43"/>
  <c r="I15" i="38"/>
  <c r="I16" i="42"/>
  <c r="O24" i="52"/>
  <c r="H23" i="52"/>
  <c r="I23" i="52"/>
  <c r="I16" i="39"/>
  <c r="I15" i="37"/>
  <c r="T16" i="43"/>
  <c r="O18" i="39"/>
  <c r="H17" i="39"/>
  <c r="O17" i="38"/>
  <c r="H16" i="38"/>
  <c r="O17" i="37"/>
  <c r="H16" i="37"/>
  <c r="H17" i="42"/>
  <c r="O18" i="42"/>
  <c r="S17" i="43"/>
  <c r="Z18" i="43"/>
  <c r="I16" i="38"/>
  <c r="I17" i="42"/>
  <c r="O25" i="52"/>
  <c r="H24" i="52"/>
  <c r="I24" i="52"/>
  <c r="I17" i="39"/>
  <c r="I16" i="37"/>
  <c r="T17" i="43"/>
  <c r="H18" i="39"/>
  <c r="O19" i="39"/>
  <c r="O18" i="38"/>
  <c r="H17" i="38"/>
  <c r="O18" i="37"/>
  <c r="H17" i="37"/>
  <c r="H18" i="42"/>
  <c r="I18" i="42"/>
  <c r="O19" i="42"/>
  <c r="S18" i="43"/>
  <c r="Z19" i="43"/>
  <c r="I17" i="38"/>
  <c r="O26" i="52"/>
  <c r="H25" i="52"/>
  <c r="I25" i="52"/>
  <c r="I18" i="39"/>
  <c r="I17" i="37"/>
  <c r="H19" i="39"/>
  <c r="O20" i="39"/>
  <c r="O19" i="38"/>
  <c r="H18" i="38"/>
  <c r="I18" i="38"/>
  <c r="O19" i="37"/>
  <c r="H18" i="37"/>
  <c r="O20" i="42"/>
  <c r="H19" i="42"/>
  <c r="I19" i="42"/>
  <c r="Z20" i="43"/>
  <c r="S19" i="43"/>
  <c r="H26" i="52"/>
  <c r="I26" i="52"/>
  <c r="O27" i="52"/>
  <c r="I19" i="39"/>
  <c r="I18" i="37"/>
  <c r="O21" i="39"/>
  <c r="H20" i="39"/>
  <c r="O20" i="38"/>
  <c r="H19" i="38"/>
  <c r="I19" i="38"/>
  <c r="H19" i="37"/>
  <c r="O20" i="37"/>
  <c r="O21" i="42"/>
  <c r="H20" i="42"/>
  <c r="I20" i="42"/>
  <c r="Z21" i="43"/>
  <c r="S20" i="43"/>
  <c r="O28" i="52"/>
  <c r="H27" i="52"/>
  <c r="I27" i="52"/>
  <c r="I20" i="39"/>
  <c r="I19" i="37"/>
  <c r="H21" i="39"/>
  <c r="O22" i="39"/>
  <c r="H20" i="38"/>
  <c r="I20" i="38"/>
  <c r="O21" i="38"/>
  <c r="O21" i="37"/>
  <c r="H20" i="37"/>
  <c r="H21" i="42"/>
  <c r="I21" i="42"/>
  <c r="O22" i="42"/>
  <c r="Z22" i="43"/>
  <c r="S21" i="43"/>
  <c r="O29" i="52"/>
  <c r="H28" i="52"/>
  <c r="I28" i="52"/>
  <c r="I21" i="39"/>
  <c r="I20" i="37"/>
  <c r="H22" i="39"/>
  <c r="O23" i="39"/>
  <c r="H21" i="38"/>
  <c r="I21" i="38"/>
  <c r="O22" i="38"/>
  <c r="O22" i="37"/>
  <c r="H21" i="37"/>
  <c r="O23" i="42"/>
  <c r="H22" i="42"/>
  <c r="I22" i="42"/>
  <c r="Z23" i="43"/>
  <c r="S22" i="43"/>
  <c r="O30" i="52"/>
  <c r="H29" i="52"/>
  <c r="I29" i="52"/>
  <c r="I22" i="39"/>
  <c r="I21" i="37"/>
  <c r="O24" i="39"/>
  <c r="H23" i="39"/>
  <c r="O23" i="38"/>
  <c r="H22" i="38"/>
  <c r="I22" i="38"/>
  <c r="H22" i="37"/>
  <c r="O23" i="37"/>
  <c r="O24" i="42"/>
  <c r="H23" i="42"/>
  <c r="I23" i="42"/>
  <c r="S23" i="43"/>
  <c r="Z24" i="43"/>
  <c r="O31" i="52"/>
  <c r="H30" i="52"/>
  <c r="I30" i="52"/>
  <c r="I23" i="39"/>
  <c r="I22" i="37"/>
  <c r="O25" i="39"/>
  <c r="H24" i="39"/>
  <c r="O24" i="38"/>
  <c r="H23" i="38"/>
  <c r="I23" i="38"/>
  <c r="H23" i="37"/>
  <c r="O24" i="37"/>
  <c r="O25" i="42"/>
  <c r="H24" i="42"/>
  <c r="I24" i="42"/>
  <c r="Z25" i="43"/>
  <c r="S24" i="43"/>
  <c r="O32" i="52"/>
  <c r="H31" i="52"/>
  <c r="I31" i="52"/>
  <c r="I24" i="39"/>
  <c r="I23" i="37"/>
  <c r="H25" i="39"/>
  <c r="O26" i="39"/>
  <c r="O25" i="38"/>
  <c r="H24" i="38"/>
  <c r="I24" i="38"/>
  <c r="H24" i="37"/>
  <c r="O25" i="37"/>
  <c r="O26" i="42"/>
  <c r="H25" i="42"/>
  <c r="I25" i="42"/>
  <c r="Z26" i="43"/>
  <c r="S25" i="43"/>
  <c r="O33" i="52"/>
  <c r="H32" i="52"/>
  <c r="I32" i="52"/>
  <c r="I25" i="39"/>
  <c r="I24" i="37"/>
  <c r="H26" i="39"/>
  <c r="O27" i="39"/>
  <c r="H25" i="38"/>
  <c r="I25" i="38"/>
  <c r="O26" i="38"/>
  <c r="H25" i="37"/>
  <c r="O26" i="37"/>
  <c r="H26" i="42"/>
  <c r="I26" i="42"/>
  <c r="O27" i="42"/>
  <c r="S26" i="43"/>
  <c r="Z27" i="43"/>
  <c r="H33" i="52"/>
  <c r="I33" i="52"/>
  <c r="O34" i="52"/>
  <c r="I26" i="39"/>
  <c r="I25" i="37"/>
  <c r="O28" i="39"/>
  <c r="H27" i="39"/>
  <c r="H26" i="38"/>
  <c r="I26" i="38"/>
  <c r="O27" i="38"/>
  <c r="H26" i="37"/>
  <c r="O27" i="37"/>
  <c r="O28" i="42"/>
  <c r="H27" i="42"/>
  <c r="I27" i="42"/>
  <c r="S27" i="43"/>
  <c r="Z28" i="43"/>
  <c r="O35" i="52"/>
  <c r="H34" i="52"/>
  <c r="I34" i="52"/>
  <c r="I27" i="39"/>
  <c r="I26" i="37"/>
  <c r="O29" i="39"/>
  <c r="H28" i="39"/>
  <c r="O28" i="38"/>
  <c r="H27" i="38"/>
  <c r="I27" i="38"/>
  <c r="H27" i="37"/>
  <c r="O28" i="37"/>
  <c r="O29" i="42"/>
  <c r="H28" i="42"/>
  <c r="I28" i="42"/>
  <c r="Z29" i="43"/>
  <c r="S28" i="43"/>
  <c r="O36" i="52"/>
  <c r="H35" i="52"/>
  <c r="I35" i="52"/>
  <c r="I28" i="39"/>
  <c r="I27" i="37"/>
  <c r="H29" i="39"/>
  <c r="O30" i="39"/>
  <c r="O29" i="38"/>
  <c r="H28" i="38"/>
  <c r="I28" i="38"/>
  <c r="H28" i="37"/>
  <c r="O29" i="37"/>
  <c r="O30" i="42"/>
  <c r="H29" i="42"/>
  <c r="I29" i="42"/>
  <c r="Z30" i="43"/>
  <c r="S29" i="43"/>
  <c r="O37" i="52"/>
  <c r="H36" i="52"/>
  <c r="I36" i="52"/>
  <c r="I29" i="39"/>
  <c r="I28" i="37"/>
  <c r="H30" i="39"/>
  <c r="O31" i="39"/>
  <c r="O30" i="38"/>
  <c r="H29" i="38"/>
  <c r="I29" i="38"/>
  <c r="O30" i="37"/>
  <c r="H29" i="37"/>
  <c r="O31" i="42"/>
  <c r="H30" i="42"/>
  <c r="I30" i="42"/>
  <c r="S30" i="43"/>
  <c r="Z31" i="43"/>
  <c r="H37" i="52"/>
  <c r="I37" i="52"/>
  <c r="O38" i="52"/>
  <c r="I30" i="39"/>
  <c r="I29" i="37"/>
  <c r="O32" i="39"/>
  <c r="H31" i="39"/>
  <c r="H30" i="38"/>
  <c r="I30" i="38"/>
  <c r="O31" i="38"/>
  <c r="H30" i="37"/>
  <c r="O31" i="37"/>
  <c r="O32" i="42"/>
  <c r="H31" i="42"/>
  <c r="I31" i="42"/>
  <c r="Z32" i="43"/>
  <c r="S31" i="43"/>
  <c r="O39" i="52"/>
  <c r="H38" i="52"/>
  <c r="I38" i="52"/>
  <c r="I31" i="39"/>
  <c r="I30" i="37"/>
  <c r="O33" i="39"/>
  <c r="H32" i="39"/>
  <c r="O32" i="38"/>
  <c r="H31" i="38"/>
  <c r="I31" i="38"/>
  <c r="O32" i="37"/>
  <c r="H31" i="37"/>
  <c r="O33" i="42"/>
  <c r="H32" i="42"/>
  <c r="I32" i="42"/>
  <c r="S32" i="43"/>
  <c r="Z33" i="43"/>
  <c r="O40" i="52"/>
  <c r="H39" i="52"/>
  <c r="I39" i="52"/>
  <c r="I32" i="39"/>
  <c r="I31" i="37"/>
  <c r="O34" i="39"/>
  <c r="H33" i="39"/>
  <c r="O33" i="38"/>
  <c r="H32" i="38"/>
  <c r="I32" i="38"/>
  <c r="O33" i="37"/>
  <c r="H32" i="37"/>
  <c r="O34" i="42"/>
  <c r="H33" i="42"/>
  <c r="I33" i="42"/>
  <c r="Z34" i="43"/>
  <c r="S33" i="43"/>
  <c r="O41" i="52"/>
  <c r="H40" i="52"/>
  <c r="I40" i="52"/>
  <c r="I33" i="39"/>
  <c r="I32" i="37"/>
  <c r="H34" i="39"/>
  <c r="O35" i="39"/>
  <c r="O34" i="38"/>
  <c r="H33" i="38"/>
  <c r="I33" i="38"/>
  <c r="O34" i="37"/>
  <c r="H33" i="37"/>
  <c r="O35" i="42"/>
  <c r="H34" i="42"/>
  <c r="I34" i="42"/>
  <c r="Z35" i="43"/>
  <c r="S34" i="43"/>
  <c r="H41" i="52"/>
  <c r="I41" i="52"/>
  <c r="O42" i="52"/>
  <c r="I34" i="39"/>
  <c r="I33" i="37"/>
  <c r="O36" i="39"/>
  <c r="H35" i="39"/>
  <c r="H34" i="38"/>
  <c r="I34" i="38"/>
  <c r="O35" i="38"/>
  <c r="O35" i="37"/>
  <c r="H34" i="37"/>
  <c r="O36" i="42"/>
  <c r="H35" i="42"/>
  <c r="I35" i="42"/>
  <c r="S35" i="43"/>
  <c r="Z36" i="43"/>
  <c r="O43" i="52"/>
  <c r="H42" i="52"/>
  <c r="I42" i="52"/>
  <c r="I35" i="39"/>
  <c r="I34" i="37"/>
  <c r="O37" i="39"/>
  <c r="H36" i="39"/>
  <c r="O36" i="38"/>
  <c r="H35" i="38"/>
  <c r="I35" i="38"/>
  <c r="O36" i="37"/>
  <c r="H35" i="37"/>
  <c r="O37" i="42"/>
  <c r="H36" i="42"/>
  <c r="I36" i="42"/>
  <c r="S36" i="43"/>
  <c r="Z37" i="43"/>
  <c r="O44" i="52"/>
  <c r="H43" i="52"/>
  <c r="I43" i="52"/>
  <c r="I36" i="39"/>
  <c r="I35" i="37"/>
  <c r="O38" i="39"/>
  <c r="H37" i="39"/>
  <c r="O37" i="38"/>
  <c r="H36" i="38"/>
  <c r="I36" i="38"/>
  <c r="O37" i="37"/>
  <c r="H36" i="37"/>
  <c r="H37" i="42"/>
  <c r="I37" i="42"/>
  <c r="O38" i="42"/>
  <c r="Z38" i="43"/>
  <c r="S37" i="43"/>
  <c r="H44" i="52"/>
  <c r="I44" i="52"/>
  <c r="O45" i="52"/>
  <c r="I37" i="39"/>
  <c r="I36" i="37"/>
  <c r="H38" i="39"/>
  <c r="O39" i="39"/>
  <c r="H37" i="38"/>
  <c r="I37" i="38"/>
  <c r="O38" i="38"/>
  <c r="O38" i="37"/>
  <c r="H37" i="37"/>
  <c r="O39" i="42"/>
  <c r="H38" i="42"/>
  <c r="I38" i="42"/>
  <c r="Z39" i="43"/>
  <c r="S38" i="43"/>
  <c r="H45" i="52"/>
  <c r="O46" i="52"/>
  <c r="I45" i="52"/>
  <c r="I38" i="39"/>
  <c r="I37" i="37"/>
  <c r="O40" i="39"/>
  <c r="H39" i="39"/>
  <c r="H38" i="38"/>
  <c r="I38" i="38"/>
  <c r="O39" i="38"/>
  <c r="H38" i="37"/>
  <c r="O39" i="37"/>
  <c r="O40" i="42"/>
  <c r="H39" i="42"/>
  <c r="I39" i="42"/>
  <c r="S39" i="43"/>
  <c r="Z40" i="43"/>
  <c r="H46" i="52"/>
  <c r="I46" i="52"/>
  <c r="O47" i="52"/>
  <c r="I39" i="39"/>
  <c r="I38" i="37"/>
  <c r="O41" i="39"/>
  <c r="H40" i="39"/>
  <c r="O40" i="38"/>
  <c r="H39" i="38"/>
  <c r="I39" i="38"/>
  <c r="O40" i="37"/>
  <c r="H39" i="37"/>
  <c r="O41" i="42"/>
  <c r="H40" i="42"/>
  <c r="I40" i="42"/>
  <c r="Z41" i="43"/>
  <c r="S40" i="43"/>
  <c r="H47" i="52"/>
  <c r="I47" i="52"/>
  <c r="O48" i="52"/>
  <c r="I40" i="39"/>
  <c r="I39" i="37"/>
  <c r="O42" i="39"/>
  <c r="H41" i="39"/>
  <c r="H40" i="38"/>
  <c r="I40" i="38"/>
  <c r="O41" i="38"/>
  <c r="O41" i="37"/>
  <c r="H40" i="37"/>
  <c r="H41" i="42"/>
  <c r="I41" i="42"/>
  <c r="O42" i="42"/>
  <c r="Z42" i="43"/>
  <c r="S41" i="43"/>
  <c r="H48" i="52"/>
  <c r="I48" i="52"/>
  <c r="O49" i="52"/>
  <c r="I41" i="39"/>
  <c r="I40" i="37"/>
  <c r="H42" i="39"/>
  <c r="O43" i="39"/>
  <c r="O42" i="38"/>
  <c r="H41" i="38"/>
  <c r="I41" i="38"/>
  <c r="O42" i="37"/>
  <c r="H41" i="37"/>
  <c r="O43" i="42"/>
  <c r="H42" i="42"/>
  <c r="I42" i="42"/>
  <c r="Z43" i="43"/>
  <c r="S42" i="43"/>
  <c r="H49" i="52"/>
  <c r="I49" i="52"/>
  <c r="O50" i="52"/>
  <c r="I42" i="39"/>
  <c r="I41" i="37"/>
  <c r="H43" i="39"/>
  <c r="O44" i="39"/>
  <c r="H42" i="38"/>
  <c r="I42" i="38"/>
  <c r="O43" i="38"/>
  <c r="H42" i="37"/>
  <c r="O43" i="37"/>
  <c r="O44" i="42"/>
  <c r="H43" i="42"/>
  <c r="I43" i="42"/>
  <c r="S43" i="43"/>
  <c r="Z44" i="43"/>
  <c r="H50" i="52"/>
  <c r="I50" i="52"/>
  <c r="O51" i="52"/>
  <c r="I43" i="39"/>
  <c r="I42" i="37"/>
  <c r="O45" i="39"/>
  <c r="H44" i="39"/>
  <c r="O44" i="38"/>
  <c r="H43" i="38"/>
  <c r="I43" i="38"/>
  <c r="H43" i="37"/>
  <c r="O44" i="37"/>
  <c r="H44" i="42"/>
  <c r="I44" i="42"/>
  <c r="O45" i="42"/>
  <c r="Z45" i="43"/>
  <c r="S44" i="43"/>
  <c r="H51" i="52"/>
  <c r="I51" i="52"/>
  <c r="O52" i="52"/>
  <c r="I44" i="39"/>
  <c r="I43" i="37"/>
  <c r="O46" i="39"/>
  <c r="H45" i="39"/>
  <c r="O45" i="38"/>
  <c r="H44" i="38"/>
  <c r="I44" i="38"/>
  <c r="H44" i="37"/>
  <c r="O45" i="37"/>
  <c r="O46" i="42"/>
  <c r="H45" i="42"/>
  <c r="I45" i="42"/>
  <c r="Z46" i="43"/>
  <c r="S45" i="43"/>
  <c r="H52" i="52"/>
  <c r="I52" i="52"/>
  <c r="O53" i="52"/>
  <c r="I45" i="39"/>
  <c r="I44" i="37"/>
  <c r="H46" i="39"/>
  <c r="O47" i="39"/>
  <c r="H45" i="38"/>
  <c r="I45" i="38"/>
  <c r="O46" i="38"/>
  <c r="O46" i="37"/>
  <c r="H45" i="37"/>
  <c r="H46" i="42"/>
  <c r="I46" i="42"/>
  <c r="O47" i="42"/>
  <c r="S46" i="43"/>
  <c r="Z47" i="43"/>
  <c r="H53" i="52"/>
  <c r="I53" i="52"/>
  <c r="O54" i="52"/>
  <c r="I46" i="39"/>
  <c r="I45" i="37"/>
  <c r="O48" i="39"/>
  <c r="H47" i="39"/>
  <c r="H46" i="38"/>
  <c r="I46" i="38"/>
  <c r="O47" i="38"/>
  <c r="O47" i="37"/>
  <c r="H46" i="37"/>
  <c r="O48" i="42"/>
  <c r="H47" i="42"/>
  <c r="I47" i="42"/>
  <c r="Z48" i="43"/>
  <c r="S47" i="43"/>
  <c r="H54" i="52"/>
  <c r="I54" i="52"/>
  <c r="O55" i="52"/>
  <c r="I47" i="39"/>
  <c r="I46" i="37"/>
  <c r="O49" i="39"/>
  <c r="H48" i="39"/>
  <c r="O48" i="38"/>
  <c r="H47" i="38"/>
  <c r="I47" i="38"/>
  <c r="O48" i="37"/>
  <c r="H47" i="37"/>
  <c r="O49" i="42"/>
  <c r="H48" i="42"/>
  <c r="I48" i="42"/>
  <c r="Z49" i="43"/>
  <c r="S48" i="43"/>
  <c r="H55" i="52"/>
  <c r="I55" i="52"/>
  <c r="O56" i="52"/>
  <c r="I48" i="39"/>
  <c r="I47" i="37"/>
  <c r="O50" i="39"/>
  <c r="H49" i="39"/>
  <c r="O49" i="38"/>
  <c r="H48" i="38"/>
  <c r="I48" i="38"/>
  <c r="O49" i="37"/>
  <c r="H48" i="37"/>
  <c r="H49" i="42"/>
  <c r="I49" i="42"/>
  <c r="O50" i="42"/>
  <c r="S49" i="43"/>
  <c r="Z50" i="43"/>
  <c r="H56" i="52"/>
  <c r="I56" i="52"/>
  <c r="O57" i="52"/>
  <c r="I49" i="39"/>
  <c r="I48" i="37"/>
  <c r="H50" i="39"/>
  <c r="O51" i="39"/>
  <c r="O50" i="38"/>
  <c r="H49" i="38"/>
  <c r="I49" i="38"/>
  <c r="O50" i="37"/>
  <c r="H49" i="37"/>
  <c r="O51" i="42"/>
  <c r="H50" i="42"/>
  <c r="I50" i="42"/>
  <c r="Z51" i="43"/>
  <c r="S50" i="43"/>
  <c r="H57" i="52"/>
  <c r="I57" i="52"/>
  <c r="O58" i="52"/>
  <c r="I50" i="39"/>
  <c r="I49" i="37"/>
  <c r="O52" i="39"/>
  <c r="H51" i="39"/>
  <c r="O51" i="38"/>
  <c r="H50" i="38"/>
  <c r="I50" i="38"/>
  <c r="H50" i="37"/>
  <c r="O51" i="37"/>
  <c r="O52" i="42"/>
  <c r="H51" i="42"/>
  <c r="I51" i="42"/>
  <c r="S51" i="43"/>
  <c r="Z52" i="43"/>
  <c r="H58" i="52"/>
  <c r="I58" i="52"/>
  <c r="O59" i="52"/>
  <c r="I51" i="39"/>
  <c r="I50" i="37"/>
  <c r="O53" i="39"/>
  <c r="H52" i="39"/>
  <c r="O52" i="38"/>
  <c r="H51" i="38"/>
  <c r="I51" i="38"/>
  <c r="H51" i="37"/>
  <c r="O52" i="37"/>
  <c r="H52" i="42"/>
  <c r="I52" i="42"/>
  <c r="O53" i="42"/>
  <c r="S52" i="43"/>
  <c r="Z53" i="43"/>
  <c r="H59" i="52"/>
  <c r="I59" i="52"/>
  <c r="O60" i="52"/>
  <c r="I52" i="39"/>
  <c r="I51" i="37"/>
  <c r="O54" i="39"/>
  <c r="H53" i="39"/>
  <c r="O53" i="38"/>
  <c r="H52" i="38"/>
  <c r="I52" i="38"/>
  <c r="O53" i="37"/>
  <c r="H52" i="37"/>
  <c r="O54" i="42"/>
  <c r="H53" i="42"/>
  <c r="I53" i="42"/>
  <c r="Z54" i="43"/>
  <c r="S53" i="43"/>
  <c r="O61" i="52"/>
  <c r="H60" i="52"/>
  <c r="I60" i="52"/>
  <c r="I53" i="39"/>
  <c r="I52" i="37"/>
  <c r="H54" i="39"/>
  <c r="O55" i="39"/>
  <c r="O54" i="38"/>
  <c r="H53" i="38"/>
  <c r="I53" i="38"/>
  <c r="H53" i="37"/>
  <c r="O54" i="37"/>
  <c r="H54" i="42"/>
  <c r="I54" i="42"/>
  <c r="O55" i="42"/>
  <c r="Z55" i="43"/>
  <c r="S54" i="43"/>
  <c r="H61" i="52"/>
  <c r="I61" i="52"/>
  <c r="O62" i="52"/>
  <c r="I54" i="39"/>
  <c r="I53" i="37"/>
  <c r="O56" i="39"/>
  <c r="H55" i="39"/>
  <c r="H54" i="38"/>
  <c r="I54" i="38"/>
  <c r="O55" i="38"/>
  <c r="H54" i="37"/>
  <c r="O55" i="37"/>
  <c r="O56" i="42"/>
  <c r="H55" i="42"/>
  <c r="I55" i="42"/>
  <c r="Z56" i="43"/>
  <c r="S55" i="43"/>
  <c r="O63" i="52"/>
  <c r="H62" i="52"/>
  <c r="I62" i="52"/>
  <c r="I55" i="39"/>
  <c r="I54" i="37"/>
  <c r="O57" i="39"/>
  <c r="H56" i="39"/>
  <c r="O56" i="38"/>
  <c r="H55" i="38"/>
  <c r="I55" i="38"/>
  <c r="O56" i="37"/>
  <c r="H55" i="37"/>
  <c r="O57" i="42"/>
  <c r="H56" i="42"/>
  <c r="I56" i="42"/>
  <c r="Z57" i="43"/>
  <c r="S56" i="43"/>
  <c r="O64" i="52"/>
  <c r="H63" i="52"/>
  <c r="I63" i="52"/>
  <c r="I56" i="39"/>
  <c r="I55" i="37"/>
  <c r="O58" i="39"/>
  <c r="H57" i="39"/>
  <c r="O57" i="38"/>
  <c r="H56" i="38"/>
  <c r="I56" i="38"/>
  <c r="O57" i="37"/>
  <c r="H56" i="37"/>
  <c r="H57" i="42"/>
  <c r="I57" i="42"/>
  <c r="O58" i="42"/>
  <c r="S57" i="43"/>
  <c r="Z58" i="43"/>
  <c r="O65" i="52"/>
  <c r="H64" i="52"/>
  <c r="I64" i="52"/>
  <c r="I57" i="39"/>
  <c r="I56" i="37"/>
  <c r="H58" i="39"/>
  <c r="O59" i="39"/>
  <c r="O58" i="38"/>
  <c r="H57" i="38"/>
  <c r="I57" i="38"/>
  <c r="O58" i="37"/>
  <c r="H57" i="37"/>
  <c r="H58" i="42"/>
  <c r="I58" i="42"/>
  <c r="O59" i="42"/>
  <c r="Z59" i="43"/>
  <c r="S58" i="43"/>
  <c r="H65" i="52"/>
  <c r="I65" i="52"/>
  <c r="O66" i="52"/>
  <c r="I58" i="39"/>
  <c r="I57" i="37"/>
  <c r="H59" i="39"/>
  <c r="O60" i="39"/>
  <c r="H58" i="38"/>
  <c r="I58" i="38"/>
  <c r="O59" i="38"/>
  <c r="O59" i="37"/>
  <c r="H59" i="37"/>
  <c r="H58" i="37"/>
  <c r="O60" i="42"/>
  <c r="H59" i="42"/>
  <c r="I59" i="42"/>
  <c r="S59" i="43"/>
  <c r="Z60" i="43"/>
  <c r="O67" i="52"/>
  <c r="H66" i="52"/>
  <c r="I66" i="52"/>
  <c r="I59" i="39"/>
  <c r="I58" i="37"/>
  <c r="O61" i="39"/>
  <c r="H60" i="39"/>
  <c r="O60" i="38"/>
  <c r="H59" i="38"/>
  <c r="I59" i="38"/>
  <c r="O60" i="37"/>
  <c r="H60" i="37"/>
  <c r="H60" i="42"/>
  <c r="I60" i="42"/>
  <c r="O61" i="42"/>
  <c r="S60" i="43"/>
  <c r="Z61" i="43"/>
  <c r="O68" i="52"/>
  <c r="H67" i="52"/>
  <c r="I67" i="52"/>
  <c r="I60" i="39"/>
  <c r="I59" i="37"/>
  <c r="O62" i="39"/>
  <c r="H61" i="39"/>
  <c r="O61" i="38"/>
  <c r="H60" i="38"/>
  <c r="I60" i="38"/>
  <c r="O61" i="37"/>
  <c r="H61" i="37"/>
  <c r="O62" i="42"/>
  <c r="H61" i="42"/>
  <c r="I61" i="42"/>
  <c r="Z62" i="43"/>
  <c r="S61" i="43"/>
  <c r="H68" i="52"/>
  <c r="I68" i="52"/>
  <c r="O69" i="52"/>
  <c r="I61" i="39"/>
  <c r="I60" i="37"/>
  <c r="H62" i="39"/>
  <c r="O63" i="39"/>
  <c r="O62" i="38"/>
  <c r="H61" i="38"/>
  <c r="I61" i="38"/>
  <c r="O62" i="37"/>
  <c r="H62" i="37"/>
  <c r="H62" i="42"/>
  <c r="I62" i="42"/>
  <c r="O63" i="42"/>
  <c r="Z63" i="43"/>
  <c r="Z64" i="43"/>
  <c r="S64" i="43"/>
  <c r="S62" i="43"/>
  <c r="H69" i="52"/>
  <c r="I69" i="52"/>
  <c r="O70" i="52"/>
  <c r="I62" i="39"/>
  <c r="I61" i="37"/>
  <c r="O64" i="39"/>
  <c r="H63" i="39"/>
  <c r="O63" i="38"/>
  <c r="H62" i="38"/>
  <c r="I62" i="38"/>
  <c r="O63" i="37"/>
  <c r="H63" i="37"/>
  <c r="O64" i="42"/>
  <c r="H63" i="42"/>
  <c r="I63" i="42"/>
  <c r="S63" i="43"/>
  <c r="H70" i="52"/>
  <c r="I70" i="52"/>
  <c r="O71" i="52"/>
  <c r="I63" i="39"/>
  <c r="I62" i="37"/>
  <c r="O65" i="39"/>
  <c r="H64" i="39"/>
  <c r="O64" i="38"/>
  <c r="H63" i="38"/>
  <c r="I63" i="38"/>
  <c r="O64" i="37"/>
  <c r="H64" i="37"/>
  <c r="O65" i="42"/>
  <c r="H64" i="42"/>
  <c r="I64" i="42"/>
  <c r="Z65" i="43"/>
  <c r="H71" i="52"/>
  <c r="I71" i="52"/>
  <c r="O72" i="52"/>
  <c r="H72" i="52"/>
  <c r="I64" i="39"/>
  <c r="I63" i="37"/>
  <c r="O66" i="39"/>
  <c r="H65" i="39"/>
  <c r="O65" i="38"/>
  <c r="H64" i="38"/>
  <c r="I64" i="38"/>
  <c r="O65" i="37"/>
  <c r="H65" i="37"/>
  <c r="H65" i="42"/>
  <c r="I65" i="42"/>
  <c r="O66" i="42"/>
  <c r="S65" i="43"/>
  <c r="Z66" i="43"/>
  <c r="I72" i="52"/>
  <c r="I65" i="39"/>
  <c r="I64" i="37"/>
  <c r="H66" i="39"/>
  <c r="O67" i="39"/>
  <c r="H65" i="38"/>
  <c r="I65" i="38"/>
  <c r="O66" i="38"/>
  <c r="O66" i="37"/>
  <c r="H66" i="37"/>
  <c r="H66" i="42"/>
  <c r="I66" i="42"/>
  <c r="O67" i="42"/>
  <c r="S66" i="43"/>
  <c r="Z67" i="43"/>
  <c r="I66" i="39"/>
  <c r="I65" i="37"/>
  <c r="H67" i="39"/>
  <c r="O68" i="39"/>
  <c r="H66" i="38"/>
  <c r="I66" i="38"/>
  <c r="O67" i="38"/>
  <c r="O67" i="37"/>
  <c r="H67" i="37"/>
  <c r="O68" i="42"/>
  <c r="H67" i="42"/>
  <c r="I67" i="42"/>
  <c r="Z68" i="43"/>
  <c r="S67" i="43"/>
  <c r="I67" i="39"/>
  <c r="I66" i="37"/>
  <c r="O69" i="39"/>
  <c r="H68" i="39"/>
  <c r="O68" i="38"/>
  <c r="H67" i="38"/>
  <c r="I67" i="38"/>
  <c r="O68" i="37"/>
  <c r="H68" i="37"/>
  <c r="H68" i="42"/>
  <c r="I68" i="42"/>
  <c r="O69" i="42"/>
  <c r="Z69" i="43"/>
  <c r="S68" i="43"/>
  <c r="I68" i="39"/>
  <c r="I67" i="37"/>
  <c r="O70" i="39"/>
  <c r="H69" i="39"/>
  <c r="H68" i="38"/>
  <c r="I68" i="38"/>
  <c r="O69" i="38"/>
  <c r="O69" i="37"/>
  <c r="H69" i="37"/>
  <c r="O70" i="42"/>
  <c r="H69" i="42"/>
  <c r="I69" i="42"/>
  <c r="S69" i="43"/>
  <c r="Z70" i="43"/>
  <c r="I69" i="39"/>
  <c r="I68" i="37"/>
  <c r="H70" i="39"/>
  <c r="O71" i="39"/>
  <c r="O70" i="38"/>
  <c r="H69" i="38"/>
  <c r="I69" i="38"/>
  <c r="O70" i="37"/>
  <c r="H70" i="37"/>
  <c r="H70" i="42"/>
  <c r="I70" i="42"/>
  <c r="O71" i="42"/>
  <c r="Z71" i="43"/>
  <c r="S70" i="43"/>
  <c r="I70" i="39"/>
  <c r="I69" i="37"/>
  <c r="O72" i="39"/>
  <c r="H72" i="39"/>
  <c r="H71" i="39"/>
  <c r="H70" i="38"/>
  <c r="I70" i="38"/>
  <c r="O71" i="38"/>
  <c r="O71" i="37"/>
  <c r="H71" i="37"/>
  <c r="O72" i="42"/>
  <c r="H72" i="42"/>
  <c r="H71" i="42"/>
  <c r="I71" i="42"/>
  <c r="Z72" i="43"/>
  <c r="S72" i="43"/>
  <c r="S71" i="43"/>
  <c r="I71" i="39"/>
  <c r="I72" i="39"/>
  <c r="I70" i="37"/>
  <c r="I72" i="42"/>
  <c r="H71" i="38"/>
  <c r="I71" i="38"/>
  <c r="O72" i="38"/>
  <c r="H72" i="38"/>
  <c r="O72" i="37"/>
  <c r="H72" i="37"/>
  <c r="I71" i="37"/>
  <c r="I72" i="37"/>
  <c r="I72" i="38"/>
  <c r="U18" i="43"/>
  <c r="T18" i="43"/>
  <c r="T19" i="43"/>
  <c r="T20" i="43"/>
  <c r="T21" i="43"/>
  <c r="T22" i="43"/>
  <c r="T23" i="43"/>
  <c r="T24" i="43"/>
  <c r="T25" i="43"/>
  <c r="T26" i="43"/>
  <c r="T27" i="43"/>
  <c r="T28" i="43"/>
  <c r="T29" i="43"/>
  <c r="T30" i="43"/>
  <c r="T31" i="43"/>
  <c r="T32" i="43"/>
  <c r="T33" i="43"/>
  <c r="T34" i="43"/>
  <c r="T35" i="43"/>
  <c r="T36" i="43"/>
  <c r="T37" i="43"/>
  <c r="T38" i="43"/>
  <c r="T39" i="43"/>
  <c r="T40" i="43"/>
  <c r="T41" i="43"/>
  <c r="T42" i="43"/>
  <c r="T43" i="43"/>
  <c r="T44" i="43"/>
  <c r="T45" i="43"/>
  <c r="T46" i="43"/>
  <c r="T47" i="43"/>
  <c r="T48" i="43"/>
  <c r="T49" i="43"/>
  <c r="T50" i="43"/>
  <c r="T51" i="43"/>
  <c r="T52" i="43"/>
  <c r="T53" i="43"/>
  <c r="T54" i="43"/>
  <c r="T55" i="43"/>
  <c r="T56" i="43"/>
  <c r="T57" i="43"/>
  <c r="T58" i="43"/>
  <c r="T59" i="43"/>
  <c r="T60" i="43"/>
  <c r="T61" i="43"/>
  <c r="T62" i="43"/>
  <c r="T63" i="43"/>
  <c r="T64" i="43"/>
  <c r="T65" i="43"/>
  <c r="T66" i="43"/>
  <c r="T67" i="43"/>
  <c r="T68" i="43"/>
  <c r="T69" i="43"/>
  <c r="T70" i="43"/>
  <c r="T71" i="43"/>
  <c r="T72" i="43"/>
</calcChain>
</file>

<file path=xl/sharedStrings.xml><?xml version="1.0" encoding="utf-8"?>
<sst xmlns="http://schemas.openxmlformats.org/spreadsheetml/2006/main" count="499" uniqueCount="118">
  <si>
    <t>SHED</t>
  </si>
  <si>
    <t xml:space="preserve">    AGE</t>
  </si>
  <si>
    <t xml:space="preserve"> STAND</t>
  </si>
  <si>
    <t xml:space="preserve">       STANDARD FEED CONSUMPTION</t>
  </si>
  <si>
    <t>GWR ALL.</t>
  </si>
  <si>
    <t xml:space="preserve">   DAYS</t>
  </si>
  <si>
    <t xml:space="preserve"> COCKS</t>
  </si>
  <si>
    <t xml:space="preserve"> PULLS</t>
  </si>
  <si>
    <t>MIXED SEX 4% MORT.</t>
  </si>
  <si>
    <t xml:space="preserve">    WINTER</t>
  </si>
  <si>
    <t xml:space="preserve">COBB </t>
  </si>
  <si>
    <t>FIN ALL.</t>
  </si>
  <si>
    <t>F.C.R.</t>
  </si>
  <si>
    <t xml:space="preserve">     MIX</t>
  </si>
  <si>
    <t>grams</t>
  </si>
  <si>
    <t>AGE</t>
  </si>
  <si>
    <t>DAY</t>
  </si>
  <si>
    <t>DATE</t>
  </si>
  <si>
    <t>FEED</t>
  </si>
  <si>
    <t>SILO</t>
  </si>
  <si>
    <t>SILOST</t>
  </si>
  <si>
    <t>CATCH</t>
  </si>
  <si>
    <t>BIRDS</t>
  </si>
  <si>
    <t>ALLOC.</t>
  </si>
  <si>
    <t>USAGE</t>
  </si>
  <si>
    <t>ON HAND</t>
  </si>
  <si>
    <t>TOTAL</t>
  </si>
  <si>
    <t>LEFT</t>
  </si>
  <si>
    <t>GROWER  :</t>
  </si>
  <si>
    <t>NO. OF BIRDS</t>
  </si>
  <si>
    <t xml:space="preserve">STR ALL.          </t>
  </si>
  <si>
    <t>KG.</t>
  </si>
  <si>
    <t xml:space="preserve">PLACEMENT </t>
  </si>
  <si>
    <t>WDW ALL.</t>
  </si>
  <si>
    <t xml:space="preserve">FEED </t>
  </si>
  <si>
    <t>DEL.</t>
  </si>
  <si>
    <t>ORDERED</t>
  </si>
  <si>
    <t>A</t>
  </si>
  <si>
    <t>B</t>
  </si>
  <si>
    <t>C</t>
  </si>
  <si>
    <t>FEED TYPE</t>
  </si>
  <si>
    <t>Date:</t>
  </si>
  <si>
    <t xml:space="preserve">FARM:  </t>
  </si>
  <si>
    <t>SHEDS</t>
  </si>
  <si>
    <t>1 &amp; 2</t>
  </si>
  <si>
    <t xml:space="preserve">Total Feed Ordered </t>
  </si>
  <si>
    <t>KG/BIRD</t>
  </si>
  <si>
    <t>Date</t>
  </si>
  <si>
    <t>Tonnes</t>
  </si>
  <si>
    <t>MORTS</t>
  </si>
  <si>
    <t>Total Morts</t>
  </si>
  <si>
    <t>Total Birds Caught</t>
  </si>
  <si>
    <t>DIFF</t>
  </si>
  <si>
    <t>#</t>
  </si>
  <si>
    <t>OVERALL</t>
  </si>
  <si>
    <t>DISCREPANCY</t>
  </si>
  <si>
    <t>% WGHT</t>
  </si>
  <si>
    <t>MIXED</t>
  </si>
  <si>
    <t>WDW ALL C 10</t>
  </si>
  <si>
    <t>Weight(Kg)</t>
  </si>
  <si>
    <t>FEED STOCKTAKE</t>
  </si>
  <si>
    <t>FEED IN STOCK (kg)</t>
  </si>
  <si>
    <t>SHED 1</t>
  </si>
  <si>
    <t>SHED 2</t>
  </si>
  <si>
    <t>SHED 3</t>
  </si>
  <si>
    <t>SHED 4</t>
  </si>
  <si>
    <t>SHED 9</t>
  </si>
  <si>
    <t>Friday</t>
  </si>
  <si>
    <t>Wednesday</t>
  </si>
  <si>
    <t>Thursday</t>
  </si>
  <si>
    <t>Tuesday</t>
  </si>
  <si>
    <t>Monday</t>
  </si>
  <si>
    <t>5 &amp; 6</t>
  </si>
  <si>
    <t>3 &amp; 4</t>
  </si>
  <si>
    <t>SHED 10</t>
  </si>
  <si>
    <t>SHED 11</t>
  </si>
  <si>
    <t>SHED 12</t>
  </si>
  <si>
    <t xml:space="preserve">Farm </t>
  </si>
  <si>
    <t>Batch</t>
  </si>
  <si>
    <t>STARTER</t>
  </si>
  <si>
    <t>GROWER</t>
  </si>
  <si>
    <t>FINISHER</t>
  </si>
  <si>
    <t>WITHDRAWL</t>
  </si>
  <si>
    <t>Docket  #</t>
  </si>
  <si>
    <t>FEED   LEFT</t>
  </si>
  <si>
    <t>LAST  BATCH</t>
  </si>
  <si>
    <t>TOTAL FEED</t>
  </si>
  <si>
    <t>PURCHASED</t>
  </si>
  <si>
    <t>FEED LEFT</t>
  </si>
  <si>
    <t>THIS  BATCH</t>
  </si>
  <si>
    <t>FEED  USED</t>
  </si>
  <si>
    <t>DOUBLE B</t>
  </si>
  <si>
    <t>7 &amp; 8</t>
  </si>
  <si>
    <t>9 &amp; 10</t>
  </si>
  <si>
    <t>11 &amp; 12</t>
  </si>
  <si>
    <t>a</t>
  </si>
  <si>
    <t>SHED 7</t>
  </si>
  <si>
    <t>SHED 8</t>
  </si>
  <si>
    <t>SHED 5</t>
  </si>
  <si>
    <t>SHED 6</t>
  </si>
  <si>
    <t>shed 11</t>
  </si>
  <si>
    <t>shed 12</t>
  </si>
  <si>
    <t>Double B</t>
  </si>
  <si>
    <t>batch details</t>
  </si>
  <si>
    <t>bird  totals</t>
  </si>
  <si>
    <t xml:space="preserve">shed </t>
  </si>
  <si>
    <t>birds place</t>
  </si>
  <si>
    <t>birds catched</t>
  </si>
  <si>
    <t>actual morts</t>
  </si>
  <si>
    <t>total</t>
  </si>
  <si>
    <t>feed totals</t>
  </si>
  <si>
    <t>feed delivered this batch</t>
  </si>
  <si>
    <t>feed on hand this batch</t>
  </si>
  <si>
    <t xml:space="preserve">end of batch </t>
  </si>
  <si>
    <t>double b</t>
  </si>
  <si>
    <t>feed on hand last batch 118</t>
  </si>
  <si>
    <t>total feed use batch 119</t>
  </si>
  <si>
    <t>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</si>
</sst>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000"/>
    <numFmt numFmtId="166" formatCode="[$-F800]dddd\,\ mmmm\ dd\,\ yyyy"/>
    <numFmt numFmtId="167" formatCode="dd/mm/yy;@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color indexed="14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8"/>
      <color rgb="FF00B0F0"/>
      <name val="Arial"/>
      <family val="2"/>
    </font>
    <font>
      <b/>
      <sz val="18"/>
      <color rgb="FFFF0000"/>
      <name val="Arial"/>
      <family val="2"/>
    </font>
    <font>
      <b/>
      <sz val="18"/>
      <color indexed="17"/>
      <name val="Arial"/>
      <family val="2"/>
    </font>
    <font>
      <sz val="18"/>
      <name val="Arial"/>
      <family val="2"/>
    </font>
    <font>
      <b/>
      <sz val="18"/>
      <color rgb="FF7030A0"/>
      <name val="Arial"/>
      <family val="2"/>
    </font>
    <font>
      <b/>
      <sz val="18"/>
      <color indexed="10"/>
      <name val="Arial"/>
      <family val="2"/>
    </font>
    <font>
      <b/>
      <sz val="18"/>
      <color theme="1"/>
      <name val="Arial"/>
      <family val="2"/>
    </font>
    <font>
      <b/>
      <sz val="18"/>
      <color indexed="12"/>
      <name val="Arial"/>
      <family val="2"/>
    </font>
    <font>
      <b/>
      <sz val="18"/>
      <color indexed="14"/>
      <name val="Arial"/>
      <family val="2"/>
    </font>
    <font>
      <sz val="18"/>
      <color theme="1"/>
      <name val="Arial"/>
      <family val="2"/>
    </font>
    <font>
      <sz val="10"/>
      <name val="Arial"/>
      <family val="2"/>
    </font>
    <font>
      <b/>
      <sz val="18"/>
      <color rgb="FF00B050"/>
      <name val="Arial"/>
      <family val="2"/>
    </font>
    <font>
      <b/>
      <sz val="14"/>
      <name val="Arial Narrow"/>
      <family val="2"/>
    </font>
    <font>
      <b/>
      <sz val="14"/>
      <color theme="1"/>
      <name val="Arial Narrow"/>
      <family val="2"/>
    </font>
    <font>
      <b/>
      <sz val="14"/>
      <color rgb="FF000000"/>
      <name val="Arial Narrow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8"/>
      <color rgb="FFEE0000"/>
      <name val="Arial"/>
      <family val="2"/>
    </font>
    <font>
      <b/>
      <sz val="18"/>
      <color rgb="FF002060"/>
      <name val="Arial"/>
      <family val="2"/>
    </font>
    <font>
      <b/>
      <sz val="26"/>
      <name val="Arial Narrow"/>
      <family val="2"/>
    </font>
    <font>
      <b/>
      <sz val="36"/>
      <name val="Arial Narrow"/>
      <family val="2"/>
    </font>
    <font>
      <b/>
      <sz val="48"/>
      <name val="Arial Narrow"/>
      <family val="2"/>
    </font>
    <font>
      <b/>
      <sz val="28"/>
      <name val="Arial Narrow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Arial Narrow"/>
      <family val="2"/>
    </font>
    <font>
      <b/>
      <sz val="16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E6FF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9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0" fontId="8" fillId="0" borderId="0"/>
  </cellStyleXfs>
  <cellXfs count="464">
    <xf numFmtId="0" fontId="0" fillId="0" borderId="0" xfId="0"/>
    <xf numFmtId="0" fontId="2" fillId="0" borderId="9" xfId="0" applyFont="1" applyBorder="1"/>
    <xf numFmtId="0" fontId="2" fillId="0" borderId="7" xfId="0" applyFont="1" applyBorder="1"/>
    <xf numFmtId="0" fontId="2" fillId="0" borderId="11" xfId="0" applyFont="1" applyBorder="1"/>
    <xf numFmtId="0" fontId="4" fillId="0" borderId="7" xfId="0" applyFont="1" applyBorder="1"/>
    <xf numFmtId="0" fontId="4" fillId="0" borderId="11" xfId="0" applyFont="1" applyBorder="1"/>
    <xf numFmtId="0" fontId="5" fillId="0" borderId="9" xfId="0" applyFont="1" applyBorder="1"/>
    <xf numFmtId="0" fontId="5" fillId="0" borderId="7" xfId="0" applyFont="1" applyBorder="1"/>
    <xf numFmtId="0" fontId="5" fillId="0" borderId="11" xfId="0" applyFont="1" applyBorder="1"/>
    <xf numFmtId="1" fontId="3" fillId="0" borderId="5" xfId="0" applyNumberFormat="1" applyFont="1" applyBorder="1"/>
    <xf numFmtId="0" fontId="2" fillId="0" borderId="4" xfId="0" applyFont="1" applyBorder="1" applyAlignment="1">
      <alignment horizontal="right"/>
    </xf>
    <xf numFmtId="0" fontId="2" fillId="0" borderId="12" xfId="0" applyFont="1" applyBorder="1"/>
    <xf numFmtId="0" fontId="4" fillId="0" borderId="4" xfId="0" applyFont="1" applyBorder="1"/>
    <xf numFmtId="0" fontId="5" fillId="0" borderId="12" xfId="0" applyFont="1" applyBorder="1"/>
    <xf numFmtId="0" fontId="5" fillId="0" borderId="4" xfId="0" applyFont="1" applyBorder="1"/>
    <xf numFmtId="0" fontId="3" fillId="0" borderId="5" xfId="0" applyFont="1" applyBorder="1"/>
    <xf numFmtId="0" fontId="12" fillId="3" borderId="1" xfId="0" applyFont="1" applyFill="1" applyBorder="1" applyAlignment="1">
      <alignment horizontal="center"/>
    </xf>
    <xf numFmtId="0" fontId="10" fillId="0" borderId="1" xfId="0" applyFont="1" applyBorder="1"/>
    <xf numFmtId="0" fontId="13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23" xfId="0" applyFont="1" applyBorder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1" fontId="15" fillId="0" borderId="1" xfId="0" applyNumberFormat="1" applyFont="1" applyBorder="1"/>
    <xf numFmtId="0" fontId="15" fillId="0" borderId="1" xfId="0" applyFont="1" applyBorder="1"/>
    <xf numFmtId="1" fontId="10" fillId="0" borderId="23" xfId="0" applyNumberFormat="1" applyFont="1" applyBorder="1"/>
    <xf numFmtId="14" fontId="10" fillId="4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7" fillId="0" borderId="1" xfId="0" applyFont="1" applyBorder="1"/>
    <xf numFmtId="1" fontId="10" fillId="0" borderId="1" xfId="0" applyNumberFormat="1" applyFont="1" applyBorder="1"/>
    <xf numFmtId="16" fontId="10" fillId="0" borderId="1" xfId="0" applyNumberFormat="1" applyFont="1" applyBorder="1" applyAlignment="1">
      <alignment horizontal="center"/>
    </xf>
    <xf numFmtId="0" fontId="18" fillId="0" borderId="1" xfId="0" applyFont="1" applyBorder="1"/>
    <xf numFmtId="1" fontId="12" fillId="6" borderId="1" xfId="0" applyNumberFormat="1" applyFont="1" applyFill="1" applyBorder="1" applyAlignment="1">
      <alignment horizontal="center"/>
    </xf>
    <xf numFmtId="1" fontId="12" fillId="6" borderId="23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1" fontId="12" fillId="7" borderId="14" xfId="0" applyNumberFormat="1" applyFont="1" applyFill="1" applyBorder="1" applyAlignment="1">
      <alignment horizontal="center"/>
    </xf>
    <xf numFmtId="1" fontId="12" fillId="7" borderId="31" xfId="0" applyNumberFormat="1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 vertical="center" wrapText="1"/>
    </xf>
    <xf numFmtId="164" fontId="10" fillId="7" borderId="14" xfId="0" applyNumberFormat="1" applyFont="1" applyFill="1" applyBorder="1" applyAlignment="1">
      <alignment horizontal="center" vertical="center" wrapText="1"/>
    </xf>
    <xf numFmtId="1" fontId="10" fillId="7" borderId="14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/>
    </xf>
    <xf numFmtId="14" fontId="10" fillId="7" borderId="14" xfId="0" applyNumberFormat="1" applyFont="1" applyFill="1" applyBorder="1" applyAlignment="1">
      <alignment horizontal="center"/>
    </xf>
    <xf numFmtId="1" fontId="16" fillId="7" borderId="14" xfId="0" applyNumberFormat="1" applyFont="1" applyFill="1" applyBorder="1" applyAlignment="1">
      <alignment horizontal="center"/>
    </xf>
    <xf numFmtId="1" fontId="10" fillId="7" borderId="14" xfId="0" applyNumberFormat="1" applyFont="1" applyFill="1" applyBorder="1" applyAlignment="1">
      <alignment horizontal="center"/>
    </xf>
    <xf numFmtId="1" fontId="10" fillId="7" borderId="31" xfId="0" applyNumberFormat="1" applyFont="1" applyFill="1" applyBorder="1" applyAlignment="1">
      <alignment horizontal="center"/>
    </xf>
    <xf numFmtId="1" fontId="10" fillId="0" borderId="8" xfId="0" applyNumberFormat="1" applyFont="1" applyBorder="1"/>
    <xf numFmtId="1" fontId="10" fillId="0" borderId="28" xfId="0" applyNumberFormat="1" applyFont="1" applyBorder="1"/>
    <xf numFmtId="0" fontId="10" fillId="0" borderId="8" xfId="0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164" fontId="14" fillId="0" borderId="22" xfId="0" applyNumberFormat="1" applyFont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1" fontId="14" fillId="0" borderId="14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64" fontId="14" fillId="0" borderId="14" xfId="0" applyNumberFormat="1" applyFont="1" applyBorder="1" applyAlignment="1">
      <alignment horizontal="center"/>
    </xf>
    <xf numFmtId="2" fontId="14" fillId="0" borderId="14" xfId="0" applyNumberFormat="1" applyFont="1" applyBorder="1" applyAlignment="1">
      <alignment horizontal="center"/>
    </xf>
    <xf numFmtId="0" fontId="14" fillId="0" borderId="8" xfId="0" applyFont="1" applyBorder="1" applyAlignment="1">
      <alignment horizontal="fill"/>
    </xf>
    <xf numFmtId="0" fontId="10" fillId="0" borderId="8" xfId="0" applyFont="1" applyBorder="1" applyAlignment="1">
      <alignment horizontal="fill"/>
    </xf>
    <xf numFmtId="0" fontId="10" fillId="0" borderId="8" xfId="0" applyFont="1" applyBorder="1" applyAlignment="1">
      <alignment horizontal="center"/>
    </xf>
    <xf numFmtId="0" fontId="10" fillId="0" borderId="22" xfId="0" applyFont="1" applyBorder="1" applyAlignment="1">
      <alignment horizontal="fill"/>
    </xf>
    <xf numFmtId="1" fontId="10" fillId="0" borderId="1" xfId="0" applyNumberFormat="1" applyFont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/>
    <xf numFmtId="16" fontId="10" fillId="0" borderId="1" xfId="0" applyNumberFormat="1" applyFont="1" applyBorder="1"/>
    <xf numFmtId="0" fontId="19" fillId="0" borderId="1" xfId="0" applyFont="1" applyBorder="1" applyAlignment="1">
      <alignment horizontal="center"/>
    </xf>
    <xf numFmtId="0" fontId="10" fillId="0" borderId="16" xfId="0" applyFont="1" applyBorder="1"/>
    <xf numFmtId="0" fontId="10" fillId="0" borderId="3" xfId="0" applyFont="1" applyBorder="1"/>
    <xf numFmtId="0" fontId="10" fillId="0" borderId="4" xfId="0" applyFont="1" applyBorder="1"/>
    <xf numFmtId="9" fontId="10" fillId="0" borderId="1" xfId="1" applyFont="1" applyFill="1" applyBorder="1" applyAlignment="1">
      <alignment horizontal="center" vertical="center" wrapText="1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4" fillId="0" borderId="1" xfId="1" applyNumberFormat="1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/>
    <xf numFmtId="164" fontId="14" fillId="0" borderId="1" xfId="0" applyNumberFormat="1" applyFont="1" applyBorder="1"/>
    <xf numFmtId="2" fontId="14" fillId="0" borderId="1" xfId="0" applyNumberFormat="1" applyFont="1" applyBorder="1"/>
    <xf numFmtId="165" fontId="14" fillId="0" borderId="1" xfId="0" applyNumberFormat="1" applyFont="1" applyBorder="1"/>
    <xf numFmtId="0" fontId="10" fillId="3" borderId="1" xfId="0" applyFont="1" applyFill="1" applyBorder="1"/>
    <xf numFmtId="16" fontId="10" fillId="3" borderId="1" xfId="0" applyNumberFormat="1" applyFont="1" applyFill="1" applyBorder="1"/>
    <xf numFmtId="0" fontId="10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center"/>
    </xf>
    <xf numFmtId="1" fontId="10" fillId="3" borderId="1" xfId="0" applyNumberFormat="1" applyFont="1" applyFill="1" applyBorder="1"/>
    <xf numFmtId="0" fontId="10" fillId="3" borderId="23" xfId="0" applyFont="1" applyFill="1" applyBorder="1"/>
    <xf numFmtId="0" fontId="15" fillId="3" borderId="6" xfId="0" applyFont="1" applyFill="1" applyBorder="1"/>
    <xf numFmtId="0" fontId="15" fillId="3" borderId="1" xfId="0" applyFont="1" applyFill="1" applyBorder="1"/>
    <xf numFmtId="0" fontId="15" fillId="3" borderId="7" xfId="0" applyFont="1" applyFill="1" applyBorder="1"/>
    <xf numFmtId="1" fontId="10" fillId="3" borderId="23" xfId="0" applyNumberFormat="1" applyFont="1" applyFill="1" applyBorder="1"/>
    <xf numFmtId="10" fontId="10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/>
    </xf>
    <xf numFmtId="1" fontId="15" fillId="3" borderId="5" xfId="0" applyNumberFormat="1" applyFont="1" applyFill="1" applyBorder="1" applyAlignment="1">
      <alignment horizontal="center"/>
    </xf>
    <xf numFmtId="1" fontId="12" fillId="3" borderId="1" xfId="0" applyNumberFormat="1" applyFont="1" applyFill="1" applyBorder="1"/>
    <xf numFmtId="1" fontId="10" fillId="3" borderId="5" xfId="0" applyNumberFormat="1" applyFont="1" applyFill="1" applyBorder="1"/>
    <xf numFmtId="0" fontId="11" fillId="3" borderId="1" xfId="0" applyFont="1" applyFill="1" applyBorder="1" applyAlignment="1">
      <alignment horizontal="center"/>
    </xf>
    <xf numFmtId="1" fontId="11" fillId="3" borderId="5" xfId="0" applyNumberFormat="1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7" xfId="0" applyFont="1" applyFill="1" applyBorder="1"/>
    <xf numFmtId="0" fontId="11" fillId="3" borderId="6" xfId="0" applyFont="1" applyFill="1" applyBorder="1" applyAlignment="1">
      <alignment horizontal="right"/>
    </xf>
    <xf numFmtId="0" fontId="11" fillId="3" borderId="7" xfId="0" applyFont="1" applyFill="1" applyBorder="1"/>
    <xf numFmtId="0" fontId="11" fillId="3" borderId="6" xfId="0" applyFont="1" applyFill="1" applyBorder="1" applyAlignment="1">
      <alignment horizontal="center"/>
    </xf>
    <xf numFmtId="1" fontId="12" fillId="3" borderId="5" xfId="0" applyNumberFormat="1" applyFont="1" applyFill="1" applyBorder="1" applyAlignment="1">
      <alignment horizontal="center"/>
    </xf>
    <xf numFmtId="0" fontId="14" fillId="3" borderId="1" xfId="0" applyFont="1" applyFill="1" applyBorder="1"/>
    <xf numFmtId="0" fontId="11" fillId="3" borderId="1" xfId="0" applyFont="1" applyFill="1" applyBorder="1" applyAlignment="1">
      <alignment horizontal="right"/>
    </xf>
    <xf numFmtId="1" fontId="16" fillId="3" borderId="1" xfId="0" applyNumberFormat="1" applyFont="1" applyFill="1" applyBorder="1" applyAlignment="1">
      <alignment horizontal="center"/>
    </xf>
    <xf numFmtId="164" fontId="14" fillId="3" borderId="1" xfId="1" applyNumberFormat="1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right"/>
    </xf>
    <xf numFmtId="1" fontId="12" fillId="3" borderId="2" xfId="0" applyNumberFormat="1" applyFont="1" applyFill="1" applyBorder="1"/>
    <xf numFmtId="1" fontId="12" fillId="3" borderId="1" xfId="0" applyNumberFormat="1" applyFont="1" applyFill="1" applyBorder="1" applyAlignment="1">
      <alignment horizontal="center"/>
    </xf>
    <xf numFmtId="0" fontId="11" fillId="3" borderId="7" xfId="0" applyFont="1" applyFill="1" applyBorder="1" applyAlignment="1">
      <alignment horizontal="right"/>
    </xf>
    <xf numFmtId="0" fontId="12" fillId="3" borderId="7" xfId="0" applyFont="1" applyFill="1" applyBorder="1" applyAlignment="1">
      <alignment horizontal="right"/>
    </xf>
    <xf numFmtId="1" fontId="10" fillId="3" borderId="5" xfId="0" applyNumberFormat="1" applyFont="1" applyFill="1" applyBorder="1" applyAlignment="1">
      <alignment horizontal="center"/>
    </xf>
    <xf numFmtId="1" fontId="12" fillId="3" borderId="23" xfId="0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right"/>
    </xf>
    <xf numFmtId="0" fontId="10" fillId="3" borderId="6" xfId="0" applyFont="1" applyFill="1" applyBorder="1" applyAlignment="1">
      <alignment horizontal="center"/>
    </xf>
    <xf numFmtId="0" fontId="20" fillId="0" borderId="1" xfId="0" applyFont="1" applyBorder="1"/>
    <xf numFmtId="0" fontId="17" fillId="3" borderId="23" xfId="0" applyFont="1" applyFill="1" applyBorder="1" applyAlignment="1">
      <alignment horizontal="center"/>
    </xf>
    <xf numFmtId="1" fontId="17" fillId="3" borderId="1" xfId="0" applyNumberFormat="1" applyFont="1" applyFill="1" applyBorder="1"/>
    <xf numFmtId="0" fontId="12" fillId="3" borderId="7" xfId="0" applyFont="1" applyFill="1" applyBorder="1" applyAlignment="1">
      <alignment horizontal="center"/>
    </xf>
    <xf numFmtId="1" fontId="12" fillId="3" borderId="23" xfId="0" applyNumberFormat="1" applyFont="1" applyFill="1" applyBorder="1"/>
    <xf numFmtId="164" fontId="10" fillId="3" borderId="1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/>
    <xf numFmtId="0" fontId="10" fillId="3" borderId="17" xfId="0" applyFont="1" applyFill="1" applyBorder="1"/>
    <xf numFmtId="0" fontId="10" fillId="3" borderId="8" xfId="0" applyFont="1" applyFill="1" applyBorder="1"/>
    <xf numFmtId="0" fontId="10" fillId="3" borderId="9" xfId="0" applyFont="1" applyFill="1" applyBorder="1"/>
    <xf numFmtId="0" fontId="10" fillId="3" borderId="31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1" fontId="10" fillId="3" borderId="14" xfId="0" applyNumberFormat="1" applyFont="1" applyFill="1" applyBorder="1"/>
    <xf numFmtId="0" fontId="10" fillId="3" borderId="31" xfId="0" applyFont="1" applyFill="1" applyBorder="1"/>
    <xf numFmtId="0" fontId="10" fillId="3" borderId="13" xfId="0" applyFont="1" applyFill="1" applyBorder="1"/>
    <xf numFmtId="0" fontId="10" fillId="3" borderId="14" xfId="0" applyFont="1" applyFill="1" applyBorder="1"/>
    <xf numFmtId="0" fontId="10" fillId="3" borderId="11" xfId="0" applyFont="1" applyFill="1" applyBorder="1"/>
    <xf numFmtId="0" fontId="12" fillId="3" borderId="14" xfId="0" applyFont="1" applyFill="1" applyBorder="1" applyAlignment="1">
      <alignment horizontal="right"/>
    </xf>
    <xf numFmtId="1" fontId="10" fillId="3" borderId="31" xfId="0" applyNumberFormat="1" applyFont="1" applyFill="1" applyBorder="1"/>
    <xf numFmtId="1" fontId="10" fillId="3" borderId="8" xfId="0" applyNumberFormat="1" applyFont="1" applyFill="1" applyBorder="1"/>
    <xf numFmtId="166" fontId="10" fillId="0" borderId="28" xfId="0" applyNumberFormat="1" applyFont="1" applyBorder="1"/>
    <xf numFmtId="166" fontId="10" fillId="0" borderId="8" xfId="0" applyNumberFormat="1" applyFont="1" applyBorder="1"/>
    <xf numFmtId="0" fontId="10" fillId="0" borderId="8" xfId="0" applyFont="1" applyBorder="1"/>
    <xf numFmtId="10" fontId="10" fillId="0" borderId="1" xfId="1" applyNumberFormat="1" applyFont="1" applyFill="1" applyBorder="1" applyAlignment="1">
      <alignment horizontal="center" vertical="center" wrapText="1"/>
    </xf>
    <xf numFmtId="166" fontId="10" fillId="0" borderId="23" xfId="0" applyNumberFormat="1" applyFont="1" applyBorder="1"/>
    <xf numFmtId="166" fontId="10" fillId="0" borderId="1" xfId="0" applyNumberFormat="1" applyFont="1" applyBorder="1"/>
    <xf numFmtId="0" fontId="10" fillId="8" borderId="1" xfId="0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4" fillId="0" borderId="23" xfId="0" applyFont="1" applyBorder="1"/>
    <xf numFmtId="0" fontId="10" fillId="3" borderId="1" xfId="0" applyFont="1" applyFill="1" applyBorder="1" applyAlignment="1">
      <alignment horizontal="right"/>
    </xf>
    <xf numFmtId="0" fontId="12" fillId="3" borderId="7" xfId="0" applyFont="1" applyFill="1" applyBorder="1"/>
    <xf numFmtId="0" fontId="15" fillId="3" borderId="6" xfId="0" applyFont="1" applyFill="1" applyBorder="1" applyAlignment="1">
      <alignment horizontal="right"/>
    </xf>
    <xf numFmtId="1" fontId="10" fillId="3" borderId="23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1" fontId="6" fillId="0" borderId="16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/>
    <xf numFmtId="0" fontId="6" fillId="0" borderId="4" xfId="0" applyFont="1" applyBorder="1"/>
    <xf numFmtId="1" fontId="6" fillId="0" borderId="6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/>
    <xf numFmtId="0" fontId="6" fillId="0" borderId="7" xfId="0" applyFont="1" applyBorder="1" applyAlignment="1">
      <alignment horizontal="center"/>
    </xf>
    <xf numFmtId="1" fontId="3" fillId="0" borderId="6" xfId="0" applyNumberFormat="1" applyFont="1" applyBorder="1"/>
    <xf numFmtId="1" fontId="3" fillId="0" borderId="1" xfId="0" applyNumberFormat="1" applyFont="1" applyBorder="1"/>
    <xf numFmtId="2" fontId="6" fillId="0" borderId="1" xfId="0" applyNumberFormat="1" applyFont="1" applyBorder="1" applyAlignment="1">
      <alignment horizontal="center"/>
    </xf>
    <xf numFmtId="0" fontId="3" fillId="0" borderId="7" xfId="0" applyFont="1" applyBorder="1"/>
    <xf numFmtId="1" fontId="3" fillId="0" borderId="18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right"/>
    </xf>
    <xf numFmtId="1" fontId="6" fillId="0" borderId="17" xfId="0" applyNumberFormat="1" applyFont="1" applyBorder="1" applyAlignment="1">
      <alignment horizontal="center"/>
    </xf>
    <xf numFmtId="1" fontId="3" fillId="0" borderId="8" xfId="0" applyNumberFormat="1" applyFont="1" applyBorder="1"/>
    <xf numFmtId="0" fontId="3" fillId="0" borderId="10" xfId="0" applyFont="1" applyBorder="1"/>
    <xf numFmtId="0" fontId="3" fillId="0" borderId="8" xfId="0" applyFont="1" applyBorder="1"/>
    <xf numFmtId="16" fontId="3" fillId="0" borderId="1" xfId="0" applyNumberFormat="1" applyFont="1" applyBorder="1"/>
    <xf numFmtId="164" fontId="3" fillId="0" borderId="1" xfId="0" applyNumberFormat="1" applyFont="1" applyBorder="1"/>
    <xf numFmtId="2" fontId="3" fillId="0" borderId="1" xfId="0" applyNumberFormat="1" applyFont="1" applyBorder="1"/>
    <xf numFmtId="165" fontId="3" fillId="0" borderId="1" xfId="0" applyNumberFormat="1" applyFont="1" applyBorder="1"/>
    <xf numFmtId="1" fontId="6" fillId="0" borderId="13" xfId="0" applyNumberFormat="1" applyFont="1" applyBorder="1" applyAlignment="1">
      <alignment horizontal="center"/>
    </xf>
    <xf numFmtId="1" fontId="3" fillId="0" borderId="14" xfId="0" applyNumberFormat="1" applyFont="1" applyBorder="1"/>
    <xf numFmtId="1" fontId="6" fillId="0" borderId="18" xfId="0" applyNumberFormat="1" applyFont="1" applyBorder="1" applyAlignment="1">
      <alignment horizontal="center"/>
    </xf>
    <xf numFmtId="1" fontId="3" fillId="0" borderId="2" xfId="0" applyNumberFormat="1" applyFont="1" applyBorder="1"/>
    <xf numFmtId="1" fontId="3" fillId="0" borderId="3" xfId="0" applyNumberFormat="1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4" xfId="0" applyFont="1" applyBorder="1"/>
    <xf numFmtId="0" fontId="6" fillId="0" borderId="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1" xfId="0" applyFont="1" applyBorder="1"/>
    <xf numFmtId="0" fontId="6" fillId="0" borderId="17" xfId="0" applyFont="1" applyBorder="1" applyAlignment="1">
      <alignment horizontal="center"/>
    </xf>
    <xf numFmtId="0" fontId="3" fillId="0" borderId="6" xfId="0" applyFont="1" applyBorder="1"/>
    <xf numFmtId="0" fontId="3" fillId="0" borderId="13" xfId="0" applyFont="1" applyBorder="1"/>
    <xf numFmtId="0" fontId="7" fillId="0" borderId="19" xfId="0" applyFont="1" applyBorder="1"/>
    <xf numFmtId="0" fontId="7" fillId="0" borderId="42" xfId="0" applyFont="1" applyBorder="1"/>
    <xf numFmtId="0" fontId="7" fillId="0" borderId="41" xfId="0" applyFont="1" applyBorder="1"/>
    <xf numFmtId="16" fontId="12" fillId="6" borderId="1" xfId="0" applyNumberFormat="1" applyFont="1" applyFill="1" applyBorder="1" applyAlignment="1">
      <alignment horizontal="center"/>
    </xf>
    <xf numFmtId="0" fontId="11" fillId="3" borderId="6" xfId="0" applyFont="1" applyFill="1" applyBorder="1"/>
    <xf numFmtId="1" fontId="10" fillId="10" borderId="1" xfId="0" applyNumberFormat="1" applyFont="1" applyFill="1" applyBorder="1"/>
    <xf numFmtId="1" fontId="17" fillId="10" borderId="1" xfId="0" applyNumberFormat="1" applyFont="1" applyFill="1" applyBorder="1"/>
    <xf numFmtId="1" fontId="10" fillId="10" borderId="14" xfId="0" applyNumberFormat="1" applyFont="1" applyFill="1" applyBorder="1"/>
    <xf numFmtId="0" fontId="10" fillId="11" borderId="1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3" fillId="3" borderId="43" xfId="3" applyFont="1" applyFill="1" applyBorder="1" applyAlignment="1">
      <alignment horizontal="center" vertical="center"/>
    </xf>
    <xf numFmtId="0" fontId="23" fillId="0" borderId="43" xfId="3" applyFont="1" applyBorder="1" applyAlignment="1">
      <alignment horizontal="center" vertical="center"/>
    </xf>
    <xf numFmtId="0" fontId="23" fillId="3" borderId="43" xfId="0" applyFont="1" applyFill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/>
    </xf>
    <xf numFmtId="0" fontId="24" fillId="0" borderId="43" xfId="3" applyFont="1" applyBorder="1" applyAlignment="1">
      <alignment horizontal="center" vertical="center"/>
    </xf>
    <xf numFmtId="167" fontId="23" fillId="0" borderId="44" xfId="3" applyNumberFormat="1" applyFont="1" applyBorder="1" applyAlignment="1">
      <alignment horizontal="center" vertical="center"/>
    </xf>
    <xf numFmtId="167" fontId="24" fillId="0" borderId="44" xfId="3" applyNumberFormat="1" applyFont="1" applyBorder="1" applyAlignment="1">
      <alignment horizontal="center" vertical="center"/>
    </xf>
    <xf numFmtId="0" fontId="23" fillId="0" borderId="45" xfId="2" applyNumberFormat="1" applyFont="1" applyFill="1" applyBorder="1" applyAlignment="1">
      <alignment horizontal="center" vertical="center"/>
    </xf>
    <xf numFmtId="167" fontId="23" fillId="0" borderId="44" xfId="0" applyNumberFormat="1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/>
    </xf>
    <xf numFmtId="167" fontId="24" fillId="3" borderId="44" xfId="3" applyNumberFormat="1" applyFont="1" applyFill="1" applyBorder="1" applyAlignment="1">
      <alignment horizontal="center" vertical="center"/>
    </xf>
    <xf numFmtId="0" fontId="23" fillId="3" borderId="45" xfId="2" applyNumberFormat="1" applyFont="1" applyFill="1" applyBorder="1" applyAlignment="1">
      <alignment horizontal="center" vertical="center"/>
    </xf>
    <xf numFmtId="0" fontId="23" fillId="3" borderId="45" xfId="0" applyFont="1" applyFill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14" fillId="12" borderId="1" xfId="0" applyFont="1" applyFill="1" applyBorder="1"/>
    <xf numFmtId="0" fontId="10" fillId="3" borderId="8" xfId="0" applyFont="1" applyFill="1" applyBorder="1" applyAlignment="1">
      <alignment horizontal="center"/>
    </xf>
    <xf numFmtId="167" fontId="23" fillId="3" borderId="13" xfId="0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20" xfId="0" applyFont="1" applyBorder="1"/>
    <xf numFmtId="0" fontId="28" fillId="0" borderId="21" xfId="0" applyFont="1" applyBorder="1"/>
    <xf numFmtId="0" fontId="7" fillId="0" borderId="38" xfId="0" applyFont="1" applyBorder="1"/>
    <xf numFmtId="0" fontId="7" fillId="0" borderId="39" xfId="0" applyFont="1" applyBorder="1"/>
    <xf numFmtId="0" fontId="7" fillId="0" borderId="6" xfId="0" applyFont="1" applyBorder="1" applyAlignment="1">
      <alignment horizontal="center"/>
    </xf>
    <xf numFmtId="0" fontId="28" fillId="0" borderId="1" xfId="0" applyFont="1" applyBorder="1"/>
    <xf numFmtId="0" fontId="28" fillId="0" borderId="7" xfId="0" applyFont="1" applyBorder="1"/>
    <xf numFmtId="0" fontId="7" fillId="0" borderId="22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28" fillId="0" borderId="37" xfId="0" applyFont="1" applyBorder="1"/>
    <xf numFmtId="0" fontId="29" fillId="0" borderId="6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30" fillId="0" borderId="0" xfId="0" applyFont="1"/>
    <xf numFmtId="0" fontId="31" fillId="0" borderId="23" xfId="0" applyFont="1" applyBorder="1" applyAlignment="1">
      <alignment horizontal="center" vertical="center" wrapText="1"/>
    </xf>
    <xf numFmtId="0" fontId="31" fillId="0" borderId="23" xfId="0" applyFont="1" applyBorder="1" applyAlignment="1">
      <alignment vertical="center" wrapText="1"/>
    </xf>
    <xf numFmtId="0" fontId="15" fillId="6" borderId="1" xfId="0" applyFont="1" applyFill="1" applyBorder="1" applyAlignment="1">
      <alignment horizontal="center"/>
    </xf>
    <xf numFmtId="0" fontId="23" fillId="3" borderId="47" xfId="2" applyNumberFormat="1" applyFont="1" applyFill="1" applyBorder="1" applyAlignment="1">
      <alignment horizontal="center" vertical="center"/>
    </xf>
    <xf numFmtId="167" fontId="23" fillId="3" borderId="44" xfId="0" applyNumberFormat="1" applyFont="1" applyFill="1" applyBorder="1" applyAlignment="1">
      <alignment horizontal="center" vertical="center"/>
    </xf>
    <xf numFmtId="167" fontId="23" fillId="3" borderId="44" xfId="3" applyNumberFormat="1" applyFont="1" applyFill="1" applyBorder="1" applyAlignment="1">
      <alignment horizontal="center" vertical="center"/>
    </xf>
    <xf numFmtId="167" fontId="25" fillId="3" borderId="44" xfId="0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/>
    </xf>
    <xf numFmtId="0" fontId="12" fillId="3" borderId="1" xfId="0" applyFont="1" applyFill="1" applyBorder="1"/>
    <xf numFmtId="0" fontId="17" fillId="3" borderId="7" xfId="0" applyFont="1" applyFill="1" applyBorder="1"/>
    <xf numFmtId="0" fontId="32" fillId="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26" fillId="3" borderId="43" xfId="3" applyFont="1" applyFill="1" applyBorder="1" applyAlignment="1">
      <alignment horizontal="center" vertical="center"/>
    </xf>
    <xf numFmtId="167" fontId="23" fillId="3" borderId="13" xfId="3" applyNumberFormat="1" applyFont="1" applyFill="1" applyBorder="1" applyAlignment="1">
      <alignment horizontal="center" vertical="center"/>
    </xf>
    <xf numFmtId="167" fontId="23" fillId="0" borderId="13" xfId="0" applyNumberFormat="1" applyFont="1" applyBorder="1" applyAlignment="1">
      <alignment horizontal="center" vertical="center"/>
    </xf>
    <xf numFmtId="167" fontId="27" fillId="3" borderId="44" xfId="3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right"/>
    </xf>
    <xf numFmtId="0" fontId="10" fillId="3" borderId="5" xfId="0" applyFont="1" applyFill="1" applyBorder="1" applyAlignment="1">
      <alignment horizontal="center"/>
    </xf>
    <xf numFmtId="1" fontId="10" fillId="0" borderId="5" xfId="0" applyNumberFormat="1" applyFont="1" applyBorder="1"/>
    <xf numFmtId="1" fontId="12" fillId="3" borderId="5" xfId="0" applyNumberFormat="1" applyFont="1" applyFill="1" applyBorder="1"/>
    <xf numFmtId="1" fontId="16" fillId="3" borderId="5" xfId="0" applyNumberFormat="1" applyFont="1" applyFill="1" applyBorder="1" applyAlignment="1">
      <alignment horizontal="center"/>
    </xf>
    <xf numFmtId="1" fontId="22" fillId="3" borderId="50" xfId="0" applyNumberFormat="1" applyFont="1" applyFill="1" applyBorder="1"/>
    <xf numFmtId="1" fontId="22" fillId="3" borderId="5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right"/>
    </xf>
    <xf numFmtId="0" fontId="12" fillId="3" borderId="32" xfId="0" applyFont="1" applyFill="1" applyBorder="1" applyAlignment="1">
      <alignment horizontal="right"/>
    </xf>
    <xf numFmtId="0" fontId="26" fillId="3" borderId="45" xfId="3" applyFont="1" applyFill="1" applyBorder="1" applyAlignment="1">
      <alignment horizontal="center" vertical="center"/>
    </xf>
    <xf numFmtId="0" fontId="35" fillId="4" borderId="29" xfId="0" applyFont="1" applyFill="1" applyBorder="1"/>
    <xf numFmtId="0" fontId="35" fillId="4" borderId="27" xfId="0" applyFont="1" applyFill="1" applyBorder="1"/>
    <xf numFmtId="0" fontId="35" fillId="4" borderId="30" xfId="0" applyFont="1" applyFill="1" applyBorder="1"/>
    <xf numFmtId="0" fontId="0" fillId="4" borderId="0" xfId="0" applyFill="1"/>
    <xf numFmtId="0" fontId="23" fillId="9" borderId="41" xfId="0" applyFont="1" applyFill="1" applyBorder="1" applyAlignment="1">
      <alignment horizontal="center"/>
    </xf>
    <xf numFmtId="0" fontId="23" fillId="9" borderId="38" xfId="0" applyFont="1" applyFill="1" applyBorder="1" applyAlignment="1">
      <alignment horizontal="center"/>
    </xf>
    <xf numFmtId="0" fontId="38" fillId="0" borderId="38" xfId="0" applyFont="1" applyBorder="1"/>
    <xf numFmtId="0" fontId="0" fillId="0" borderId="38" xfId="0" applyBorder="1"/>
    <xf numFmtId="0" fontId="0" fillId="0" borderId="39" xfId="0" applyBorder="1"/>
    <xf numFmtId="0" fontId="7" fillId="9" borderId="1" xfId="0" applyFont="1" applyFill="1" applyBorder="1"/>
    <xf numFmtId="0" fontId="23" fillId="9" borderId="8" xfId="0" applyFont="1" applyFill="1" applyBorder="1"/>
    <xf numFmtId="0" fontId="0" fillId="0" borderId="8" xfId="0" applyBorder="1"/>
    <xf numFmtId="0" fontId="23" fillId="9" borderId="2" xfId="0" applyFont="1" applyFill="1" applyBorder="1"/>
    <xf numFmtId="0" fontId="23" fillId="9" borderId="1" xfId="0" applyFont="1" applyFill="1" applyBorder="1"/>
    <xf numFmtId="0" fontId="0" fillId="0" borderId="1" xfId="0" applyBorder="1"/>
    <xf numFmtId="0" fontId="39" fillId="0" borderId="19" xfId="0" applyFont="1" applyBorder="1"/>
    <xf numFmtId="0" fontId="40" fillId="0" borderId="33" xfId="0" applyFont="1" applyBorder="1"/>
    <xf numFmtId="0" fontId="7" fillId="9" borderId="23" xfId="0" applyFont="1" applyFill="1" applyBorder="1"/>
    <xf numFmtId="0" fontId="23" fillId="9" borderId="5" xfId="0" applyFont="1" applyFill="1" applyBorder="1" applyAlignment="1">
      <alignment horizontal="centerContinuous"/>
    </xf>
    <xf numFmtId="0" fontId="23" fillId="9" borderId="23" xfId="0" applyFont="1" applyFill="1" applyBorder="1" applyAlignment="1">
      <alignment horizontal="centerContinuous"/>
    </xf>
    <xf numFmtId="0" fontId="23" fillId="9" borderId="15" xfId="0" applyFont="1" applyFill="1" applyBorder="1" applyAlignment="1">
      <alignment horizontal="centerContinuous"/>
    </xf>
    <xf numFmtId="0" fontId="40" fillId="0" borderId="40" xfId="0" applyFont="1" applyBorder="1"/>
    <xf numFmtId="0" fontId="40" fillId="3" borderId="53" xfId="0" applyFont="1" applyFill="1" applyBorder="1"/>
    <xf numFmtId="0" fontId="41" fillId="3" borderId="53" xfId="0" applyFont="1" applyFill="1" applyBorder="1"/>
    <xf numFmtId="0" fontId="23" fillId="12" borderId="6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23" fillId="12" borderId="7" xfId="0" applyFont="1" applyFill="1" applyBorder="1" applyAlignment="1">
      <alignment horizontal="center"/>
    </xf>
    <xf numFmtId="0" fontId="23" fillId="9" borderId="5" xfId="0" applyFont="1" applyFill="1" applyBorder="1"/>
    <xf numFmtId="0" fontId="23" fillId="9" borderId="23" xfId="0" applyFont="1" applyFill="1" applyBorder="1"/>
    <xf numFmtId="0" fontId="23" fillId="9" borderId="15" xfId="0" applyFont="1" applyFill="1" applyBorder="1"/>
    <xf numFmtId="0" fontId="0" fillId="0" borderId="5" xfId="0" applyBorder="1"/>
    <xf numFmtId="167" fontId="24" fillId="3" borderId="6" xfId="3" applyNumberFormat="1" applyFont="1" applyFill="1" applyBorder="1" applyAlignment="1">
      <alignment horizontal="center" vertical="center"/>
    </xf>
    <xf numFmtId="0" fontId="23" fillId="3" borderId="1" xfId="3" applyFont="1" applyFill="1" applyBorder="1" applyAlignment="1">
      <alignment horizontal="center" vertical="center"/>
    </xf>
    <xf numFmtId="0" fontId="23" fillId="3" borderId="7" xfId="3" applyFont="1" applyFill="1" applyBorder="1" applyAlignment="1">
      <alignment horizontal="center" vertical="center"/>
    </xf>
    <xf numFmtId="0" fontId="24" fillId="9" borderId="5" xfId="3" applyFont="1" applyFill="1" applyBorder="1"/>
    <xf numFmtId="0" fontId="23" fillId="9" borderId="23" xfId="3" applyFont="1" applyFill="1" applyBorder="1"/>
    <xf numFmtId="0" fontId="23" fillId="0" borderId="15" xfId="3" applyFont="1" applyBorder="1"/>
    <xf numFmtId="167" fontId="23" fillId="3" borderId="6" xfId="3" applyNumberFormat="1" applyFont="1" applyFill="1" applyBorder="1" applyAlignment="1">
      <alignment horizontal="center" vertical="center"/>
    </xf>
    <xf numFmtId="167" fontId="23" fillId="3" borderId="6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10" borderId="53" xfId="0" applyFont="1" applyFill="1" applyBorder="1" applyAlignment="1">
      <alignment horizontal="center"/>
    </xf>
    <xf numFmtId="0" fontId="23" fillId="0" borderId="55" xfId="0" applyFont="1" applyBorder="1" applyAlignment="1">
      <alignment horizontal="center"/>
    </xf>
    <xf numFmtId="0" fontId="23" fillId="9" borderId="22" xfId="0" applyFont="1" applyFill="1" applyBorder="1"/>
    <xf numFmtId="0" fontId="24" fillId="3" borderId="1" xfId="3" applyFont="1" applyFill="1" applyBorder="1" applyAlignment="1">
      <alignment horizontal="center" vertical="center"/>
    </xf>
    <xf numFmtId="2" fontId="23" fillId="3" borderId="55" xfId="0" applyNumberFormat="1" applyFont="1" applyFill="1" applyBorder="1" applyAlignment="1">
      <alignment horizontal="center"/>
    </xf>
    <xf numFmtId="0" fontId="40" fillId="3" borderId="40" xfId="0" applyFont="1" applyFill="1" applyBorder="1"/>
    <xf numFmtId="0" fontId="23" fillId="9" borderId="23" xfId="3" applyFont="1" applyFill="1" applyBorder="1" applyAlignment="1">
      <alignment horizontal="center"/>
    </xf>
    <xf numFmtId="0" fontId="40" fillId="3" borderId="56" xfId="0" applyFont="1" applyFill="1" applyBorder="1"/>
    <xf numFmtId="0" fontId="40" fillId="3" borderId="57" xfId="0" applyFont="1" applyFill="1" applyBorder="1"/>
    <xf numFmtId="0" fontId="41" fillId="3" borderId="57" xfId="0" applyFont="1" applyFill="1" applyBorder="1"/>
    <xf numFmtId="0" fontId="23" fillId="0" borderId="22" xfId="0" applyFont="1" applyBorder="1"/>
    <xf numFmtId="0" fontId="14" fillId="0" borderId="37" xfId="0" applyFont="1" applyBorder="1"/>
    <xf numFmtId="0" fontId="40" fillId="0" borderId="37" xfId="0" applyFont="1" applyBorder="1"/>
    <xf numFmtId="0" fontId="41" fillId="0" borderId="37" xfId="0" applyFont="1" applyBorder="1"/>
    <xf numFmtId="0" fontId="0" fillId="0" borderId="33" xfId="0" applyBorder="1"/>
    <xf numFmtId="0" fontId="0" fillId="0" borderId="21" xfId="0" applyBorder="1"/>
    <xf numFmtId="2" fontId="23" fillId="14" borderId="55" xfId="0" applyNumberFormat="1" applyFont="1" applyFill="1" applyBorder="1" applyAlignment="1">
      <alignment horizontal="center"/>
    </xf>
    <xf numFmtId="0" fontId="7" fillId="0" borderId="54" xfId="0" applyFont="1" applyBorder="1"/>
    <xf numFmtId="0" fontId="0" fillId="0" borderId="26" xfId="0" applyBorder="1"/>
    <xf numFmtId="0" fontId="23" fillId="0" borderId="15" xfId="3" applyFont="1" applyBorder="1" applyAlignment="1">
      <alignment horizontal="center"/>
    </xf>
    <xf numFmtId="0" fontId="23" fillId="0" borderId="8" xfId="0" applyFont="1" applyBorder="1"/>
    <xf numFmtId="3" fontId="7" fillId="0" borderId="53" xfId="0" applyNumberFormat="1" applyFont="1" applyBorder="1"/>
    <xf numFmtId="0" fontId="7" fillId="0" borderId="53" xfId="0" applyFont="1" applyBorder="1"/>
    <xf numFmtId="0" fontId="24" fillId="3" borderId="7" xfId="3" applyFont="1" applyFill="1" applyBorder="1" applyAlignment="1">
      <alignment horizontal="center" vertical="center"/>
    </xf>
    <xf numFmtId="3" fontId="42" fillId="3" borderId="55" xfId="0" applyNumberFormat="1" applyFont="1" applyFill="1" applyBorder="1"/>
    <xf numFmtId="0" fontId="0" fillId="0" borderId="25" xfId="0" applyBorder="1"/>
    <xf numFmtId="0" fontId="23" fillId="9" borderId="15" xfId="3" applyFont="1" applyFill="1" applyBorder="1"/>
    <xf numFmtId="2" fontId="23" fillId="3" borderId="7" xfId="0" applyNumberFormat="1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/>
    </xf>
    <xf numFmtId="0" fontId="23" fillId="9" borderId="23" xfId="0" applyFont="1" applyFill="1" applyBorder="1" applyAlignment="1">
      <alignment horizontal="center"/>
    </xf>
    <xf numFmtId="0" fontId="23" fillId="9" borderId="15" xfId="0" applyFont="1" applyFill="1" applyBorder="1" applyAlignment="1">
      <alignment horizontal="center"/>
    </xf>
    <xf numFmtId="167" fontId="23" fillId="3" borderId="18" xfId="0" applyNumberFormat="1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2" fontId="23" fillId="3" borderId="12" xfId="0" applyNumberFormat="1" applyFont="1" applyFill="1" applyBorder="1" applyAlignment="1">
      <alignment horizontal="center" vertical="center"/>
    </xf>
    <xf numFmtId="16" fontId="23" fillId="3" borderId="14" xfId="0" applyNumberFormat="1" applyFont="1" applyFill="1" applyBorder="1" applyAlignment="1">
      <alignment horizontal="center" vertical="center"/>
    </xf>
    <xf numFmtId="2" fontId="23" fillId="3" borderId="11" xfId="0" applyNumberFormat="1" applyFont="1" applyFill="1" applyBorder="1" applyAlignment="1">
      <alignment horizontal="center" vertical="center"/>
    </xf>
    <xf numFmtId="2" fontId="23" fillId="4" borderId="39" xfId="0" applyNumberFormat="1" applyFont="1" applyFill="1" applyBorder="1" applyAlignment="1">
      <alignment horizontal="center"/>
    </xf>
    <xf numFmtId="0" fontId="23" fillId="4" borderId="54" xfId="0" applyFont="1" applyFill="1" applyBorder="1" applyAlignment="1">
      <alignment horizontal="center"/>
    </xf>
    <xf numFmtId="0" fontId="23" fillId="15" borderId="54" xfId="0" applyFont="1" applyFill="1" applyBorder="1" applyAlignment="1">
      <alignment horizontal="center"/>
    </xf>
    <xf numFmtId="0" fontId="23" fillId="4" borderId="54" xfId="0" applyFont="1" applyFill="1" applyBorder="1"/>
    <xf numFmtId="0" fontId="7" fillId="0" borderId="30" xfId="0" applyFont="1" applyBorder="1"/>
    <xf numFmtId="167" fontId="43" fillId="3" borderId="44" xfId="3" applyNumberFormat="1" applyFont="1" applyFill="1" applyBorder="1" applyAlignment="1">
      <alignment horizontal="center" vertical="center"/>
    </xf>
    <xf numFmtId="0" fontId="44" fillId="3" borderId="43" xfId="3" applyFont="1" applyFill="1" applyBorder="1" applyAlignment="1">
      <alignment horizontal="center" vertical="center"/>
    </xf>
    <xf numFmtId="0" fontId="45" fillId="3" borderId="45" xfId="3" applyFont="1" applyFill="1" applyBorder="1" applyAlignment="1">
      <alignment horizontal="center" vertical="center"/>
    </xf>
    <xf numFmtId="167" fontId="46" fillId="3" borderId="44" xfId="3" applyNumberFormat="1" applyFont="1" applyFill="1" applyBorder="1" applyAlignment="1">
      <alignment horizontal="center" vertical="center"/>
    </xf>
    <xf numFmtId="0" fontId="45" fillId="3" borderId="43" xfId="3" applyFont="1" applyFill="1" applyBorder="1" applyAlignment="1">
      <alignment horizontal="center" vertical="center"/>
    </xf>
    <xf numFmtId="0" fontId="44" fillId="3" borderId="45" xfId="3" applyFont="1" applyFill="1" applyBorder="1" applyAlignment="1">
      <alignment horizontal="center" vertical="center"/>
    </xf>
    <xf numFmtId="167" fontId="45" fillId="3" borderId="44" xfId="3" applyNumberFormat="1" applyFont="1" applyFill="1" applyBorder="1" applyAlignment="1">
      <alignment horizontal="center" vertical="center"/>
    </xf>
    <xf numFmtId="0" fontId="45" fillId="3" borderId="45" xfId="2" applyNumberFormat="1" applyFont="1" applyFill="1" applyBorder="1" applyAlignment="1">
      <alignment horizontal="center" vertical="center"/>
    </xf>
    <xf numFmtId="167" fontId="45" fillId="3" borderId="44" xfId="0" applyNumberFormat="1" applyFont="1" applyFill="1" applyBorder="1" applyAlignment="1">
      <alignment horizontal="center" vertical="center"/>
    </xf>
    <xf numFmtId="0" fontId="45" fillId="3" borderId="43" xfId="0" applyFont="1" applyFill="1" applyBorder="1" applyAlignment="1">
      <alignment horizontal="center" vertical="center"/>
    </xf>
    <xf numFmtId="0" fontId="45" fillId="3" borderId="45" xfId="0" applyFont="1" applyFill="1" applyBorder="1" applyAlignment="1">
      <alignment horizontal="center" vertical="center"/>
    </xf>
    <xf numFmtId="167" fontId="45" fillId="0" borderId="44" xfId="3" applyNumberFormat="1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167" fontId="45" fillId="0" borderId="13" xfId="3" applyNumberFormat="1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14" fontId="7" fillId="0" borderId="27" xfId="0" applyNumberFormat="1" applyFont="1" applyBorder="1" applyAlignment="1">
      <alignment horizontal="center"/>
    </xf>
    <xf numFmtId="16" fontId="7" fillId="0" borderId="48" xfId="0" applyNumberFormat="1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166" fontId="10" fillId="3" borderId="23" xfId="0" applyNumberFormat="1" applyFont="1" applyFill="1" applyBorder="1" applyAlignment="1">
      <alignment horizontal="center"/>
    </xf>
    <xf numFmtId="166" fontId="10" fillId="3" borderId="5" xfId="0" applyNumberFormat="1" applyFont="1" applyFill="1" applyBorder="1" applyAlignment="1">
      <alignment horizontal="center"/>
    </xf>
    <xf numFmtId="166" fontId="10" fillId="3" borderId="31" xfId="0" applyNumberFormat="1" applyFont="1" applyFill="1" applyBorder="1" applyAlignment="1">
      <alignment horizontal="center"/>
    </xf>
    <xf numFmtId="166" fontId="10" fillId="3" borderId="32" xfId="0" applyNumberFormat="1" applyFont="1" applyFill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6" fontId="16" fillId="0" borderId="23" xfId="0" applyNumberFormat="1" applyFont="1" applyBorder="1" applyAlignment="1">
      <alignment horizontal="center"/>
    </xf>
    <xf numFmtId="166" fontId="16" fillId="0" borderId="5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" fontId="16" fillId="2" borderId="23" xfId="0" applyNumberFormat="1" applyFont="1" applyFill="1" applyBorder="1" applyAlignment="1">
      <alignment horizontal="center"/>
    </xf>
    <xf numFmtId="1" fontId="16" fillId="2" borderId="15" xfId="0" applyNumberFormat="1" applyFont="1" applyFill="1" applyBorder="1" applyAlignment="1">
      <alignment horizontal="center"/>
    </xf>
    <xf numFmtId="1" fontId="16" fillId="2" borderId="5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left"/>
    </xf>
    <xf numFmtId="0" fontId="23" fillId="9" borderId="1" xfId="0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34" fillId="4" borderId="29" xfId="0" applyFont="1" applyFill="1" applyBorder="1" applyAlignment="1">
      <alignment horizontal="center"/>
    </xf>
    <xf numFmtId="0" fontId="34" fillId="4" borderId="30" xfId="0" applyFont="1" applyFill="1" applyBorder="1" applyAlignment="1">
      <alignment horizontal="center"/>
    </xf>
    <xf numFmtId="0" fontId="36" fillId="4" borderId="19" xfId="0" applyFont="1" applyFill="1" applyBorder="1" applyAlignment="1">
      <alignment horizontal="center"/>
    </xf>
    <xf numFmtId="0" fontId="36" fillId="4" borderId="20" xfId="0" applyFont="1" applyFill="1" applyBorder="1" applyAlignment="1">
      <alignment horizontal="center"/>
    </xf>
    <xf numFmtId="0" fontId="36" fillId="4" borderId="21" xfId="0" applyFont="1" applyFill="1" applyBorder="1" applyAlignment="1">
      <alignment horizontal="center"/>
    </xf>
    <xf numFmtId="0" fontId="34" fillId="10" borderId="29" xfId="0" applyFont="1" applyFill="1" applyBorder="1" applyAlignment="1">
      <alignment horizontal="center"/>
    </xf>
    <xf numFmtId="0" fontId="34" fillId="10" borderId="30" xfId="0" applyFont="1" applyFill="1" applyBorder="1" applyAlignment="1">
      <alignment horizontal="center"/>
    </xf>
    <xf numFmtId="0" fontId="37" fillId="9" borderId="29" xfId="0" applyFont="1" applyFill="1" applyBorder="1" applyAlignment="1">
      <alignment horizontal="center"/>
    </xf>
    <xf numFmtId="0" fontId="37" fillId="9" borderId="27" xfId="0" applyFont="1" applyFill="1" applyBorder="1" applyAlignment="1">
      <alignment horizontal="center"/>
    </xf>
    <xf numFmtId="0" fontId="23" fillId="9" borderId="41" xfId="0" applyFont="1" applyFill="1" applyBorder="1" applyAlignment="1">
      <alignment horizontal="center"/>
    </xf>
    <xf numFmtId="0" fontId="23" fillId="9" borderId="38" xfId="0" applyFont="1" applyFill="1" applyBorder="1" applyAlignment="1">
      <alignment horizontal="center"/>
    </xf>
    <xf numFmtId="0" fontId="23" fillId="7" borderId="16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/>
    </xf>
    <xf numFmtId="0" fontId="23" fillId="13" borderId="16" xfId="0" applyFont="1" applyFill="1" applyBorder="1" applyAlignment="1">
      <alignment horizontal="center"/>
    </xf>
    <xf numFmtId="0" fontId="23" fillId="13" borderId="3" xfId="0" applyFont="1" applyFill="1" applyBorder="1" applyAlignment="1">
      <alignment horizontal="center"/>
    </xf>
    <xf numFmtId="0" fontId="23" fillId="13" borderId="4" xfId="0" applyFont="1" applyFill="1" applyBorder="1" applyAlignment="1">
      <alignment horizontal="center"/>
    </xf>
    <xf numFmtId="0" fontId="23" fillId="11" borderId="16" xfId="0" applyFont="1" applyFill="1" applyBorder="1" applyAlignment="1">
      <alignment horizontal="center"/>
    </xf>
    <xf numFmtId="0" fontId="23" fillId="11" borderId="3" xfId="0" applyFont="1" applyFill="1" applyBorder="1" applyAlignment="1">
      <alignment horizontal="center"/>
    </xf>
    <xf numFmtId="0" fontId="23" fillId="11" borderId="4" xfId="0" applyFont="1" applyFill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38" fillId="0" borderId="51" xfId="0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0" fontId="38" fillId="0" borderId="25" xfId="0" applyFont="1" applyBorder="1" applyAlignment="1">
      <alignment horizontal="center"/>
    </xf>
    <xf numFmtId="0" fontId="10" fillId="0" borderId="43" xfId="0" applyFont="1" applyBorder="1"/>
    <xf numFmtId="0" fontId="10" fillId="5" borderId="43" xfId="0" applyFont="1" applyFill="1" applyBorder="1"/>
    <xf numFmtId="0" fontId="10" fillId="7" borderId="43" xfId="0" applyFont="1" applyFill="1" applyBorder="1" applyAlignment="1">
      <alignment horizontal="center"/>
    </xf>
    <xf numFmtId="0" fontId="10" fillId="7" borderId="46" xfId="0" applyFont="1" applyFill="1" applyBorder="1" applyAlignment="1">
      <alignment horizontal="center"/>
    </xf>
    <xf numFmtId="0" fontId="10" fillId="3" borderId="43" xfId="0" applyFont="1" applyFill="1" applyBorder="1"/>
    <xf numFmtId="166" fontId="10" fillId="3" borderId="15" xfId="0" applyNumberFormat="1" applyFont="1" applyFill="1" applyBorder="1" applyAlignment="1">
      <alignment horizontal="center"/>
    </xf>
    <xf numFmtId="166" fontId="10" fillId="3" borderId="58" xfId="0" applyNumberFormat="1" applyFont="1" applyFill="1" applyBorder="1" applyAlignment="1">
      <alignment horizontal="center"/>
    </xf>
    <xf numFmtId="0" fontId="14" fillId="0" borderId="43" xfId="0" applyFont="1" applyBorder="1"/>
  </cellXfs>
  <cellStyles count="5">
    <cellStyle name="Comma" xfId="2" builtinId="3"/>
    <cellStyle name="Normal" xfId="0" builtinId="0"/>
    <cellStyle name="Normal 2" xfId="3" xr:uid="{E584B042-7B77-496D-85F4-FB9370AB768E}"/>
    <cellStyle name="Normal 3" xfId="4" xr:uid="{7278DAC9-87C5-4443-B0D3-E64F1FA381CE}"/>
    <cellStyle name="Percent" xfId="1" builtinId="5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customXml" Target="../customXml/item3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customXml" Target="../customXml/item2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ustomXml" Target="../customXml/item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585108</xdr:colOff>
      <xdr:row>0</xdr:row>
      <xdr:rowOff>68036</xdr:rowOff>
    </xdr:from>
    <xdr:to>
      <xdr:col>33</xdr:col>
      <xdr:colOff>106018</xdr:colOff>
      <xdr:row>1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31108" y="68036"/>
          <a:ext cx="740110" cy="1274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9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80"/>
  <sheetViews>
    <sheetView zoomScale="75" workbookViewId="0">
      <selection sqref="A1:XFD1048576"/>
    </sheetView>
  </sheetViews>
  <sheetFormatPr defaultColWidth="14.6953125" defaultRowHeight="14.25" x14ac:dyDescent="0.15"/>
  <cols>
    <col min="1" max="4" width="11.32421875" style="175" customWidth="1"/>
    <col min="5" max="7" width="12.5390625" style="175" customWidth="1"/>
    <col min="8" max="15" width="14.6953125" style="175" customWidth="1"/>
    <col min="16" max="16" width="15.37109375" style="175" customWidth="1"/>
    <col min="17" max="16384" width="14.6953125" style="175"/>
  </cols>
  <sheetData>
    <row r="1" spans="1:41" ht="15" thickBot="1" x14ac:dyDescent="0.2">
      <c r="A1" s="174"/>
      <c r="B1" s="174"/>
      <c r="C1" s="174"/>
      <c r="D1" s="174"/>
      <c r="E1" s="174"/>
      <c r="F1" s="174"/>
      <c r="G1" s="174"/>
    </row>
    <row r="2" spans="1:41" x14ac:dyDescent="0.15">
      <c r="A2" s="176" t="s">
        <v>1</v>
      </c>
      <c r="B2" s="177" t="s">
        <v>2</v>
      </c>
      <c r="C2" s="177" t="s">
        <v>2</v>
      </c>
      <c r="D2" s="178" t="s">
        <v>3</v>
      </c>
      <c r="E2" s="178"/>
      <c r="F2" s="178"/>
      <c r="G2" s="179"/>
      <c r="H2" s="15"/>
    </row>
    <row r="3" spans="1:41" x14ac:dyDescent="0.15">
      <c r="A3" s="180" t="s">
        <v>5</v>
      </c>
      <c r="B3" s="181" t="s">
        <v>6</v>
      </c>
      <c r="C3" s="181" t="s">
        <v>7</v>
      </c>
      <c r="D3" s="182" t="s">
        <v>8</v>
      </c>
      <c r="E3" s="182"/>
      <c r="F3" s="182" t="s">
        <v>9</v>
      </c>
      <c r="G3" s="183" t="s">
        <v>10</v>
      </c>
      <c r="H3" s="15"/>
    </row>
    <row r="4" spans="1:41" x14ac:dyDescent="0.15">
      <c r="A4" s="184"/>
      <c r="B4" s="185"/>
      <c r="C4" s="185"/>
      <c r="D4" s="181" t="s">
        <v>12</v>
      </c>
      <c r="E4" s="181" t="s">
        <v>12</v>
      </c>
      <c r="F4" s="181" t="s">
        <v>13</v>
      </c>
      <c r="G4" s="183">
        <v>500</v>
      </c>
      <c r="H4" s="15"/>
    </row>
    <row r="5" spans="1:41" x14ac:dyDescent="0.15">
      <c r="A5" s="184"/>
      <c r="B5" s="185"/>
      <c r="C5" s="185"/>
      <c r="D5" s="186">
        <f>SUM(D8:D50)/1800/0.96</f>
        <v>2.0253071581196584</v>
      </c>
      <c r="E5" s="186">
        <f>SUM(E8:E50)/1800/0.96</f>
        <v>2.0856481481481479</v>
      </c>
      <c r="F5" s="181"/>
      <c r="G5" s="183" t="s">
        <v>14</v>
      </c>
      <c r="H5" s="15"/>
    </row>
    <row r="6" spans="1:41" x14ac:dyDescent="0.15">
      <c r="A6" s="184"/>
      <c r="B6" s="185"/>
      <c r="C6" s="185"/>
      <c r="D6" s="185"/>
      <c r="E6" s="185"/>
      <c r="F6" s="185"/>
      <c r="G6" s="187"/>
      <c r="H6" s="15"/>
    </row>
    <row r="7" spans="1:41" s="192" customFormat="1" ht="15" thickBot="1" x14ac:dyDescent="0.2">
      <c r="A7" s="188"/>
      <c r="B7" s="189"/>
      <c r="C7" s="189"/>
      <c r="D7" s="189"/>
      <c r="E7" s="189"/>
      <c r="F7" s="189"/>
      <c r="G7" s="190"/>
      <c r="H7" s="191"/>
      <c r="Q7" s="193"/>
      <c r="R7" s="194"/>
      <c r="S7" s="193"/>
      <c r="T7" s="194"/>
      <c r="Y7" s="194"/>
      <c r="AB7" s="194"/>
      <c r="AC7" s="195"/>
      <c r="AE7" s="194"/>
      <c r="AF7" s="195"/>
      <c r="AG7" s="193"/>
      <c r="AH7" s="194"/>
      <c r="AI7" s="193"/>
      <c r="AJ7" s="194"/>
      <c r="AK7" s="193"/>
      <c r="AL7" s="193"/>
      <c r="AM7" s="193"/>
    </row>
    <row r="8" spans="1:41" s="192" customFormat="1" ht="12.75" customHeight="1" x14ac:dyDescent="0.15">
      <c r="A8" s="176">
        <v>1</v>
      </c>
      <c r="B8" s="196">
        <v>23</v>
      </c>
      <c r="C8" s="196">
        <v>21</v>
      </c>
      <c r="D8" s="196">
        <f t="shared" ref="D8:D71" si="0">(E8*2.02/2.08)</f>
        <v>21.365384615384613</v>
      </c>
      <c r="E8" s="196">
        <v>22</v>
      </c>
      <c r="F8" s="196">
        <v>17</v>
      </c>
      <c r="G8" s="10">
        <v>22</v>
      </c>
      <c r="H8" s="191"/>
      <c r="Q8" s="193"/>
      <c r="R8" s="194"/>
      <c r="S8" s="193"/>
      <c r="T8" s="194"/>
      <c r="Y8" s="194"/>
      <c r="AB8" s="194"/>
      <c r="AC8" s="195"/>
      <c r="AE8" s="194"/>
      <c r="AF8" s="195"/>
      <c r="AG8" s="193"/>
      <c r="AH8" s="194"/>
      <c r="AI8" s="193"/>
      <c r="AJ8" s="194"/>
      <c r="AK8" s="193"/>
      <c r="AL8" s="193"/>
      <c r="AM8" s="193"/>
    </row>
    <row r="9" spans="1:41" s="200" customFormat="1" ht="12.75" customHeight="1" x14ac:dyDescent="0.15">
      <c r="A9" s="197">
        <v>2</v>
      </c>
      <c r="B9" s="198">
        <v>25</v>
      </c>
      <c r="C9" s="198">
        <v>24</v>
      </c>
      <c r="D9" s="198">
        <v>23</v>
      </c>
      <c r="E9" s="198">
        <v>24</v>
      </c>
      <c r="F9" s="198">
        <v>21</v>
      </c>
      <c r="G9" s="1">
        <v>24</v>
      </c>
      <c r="H9" s="199"/>
    </row>
    <row r="10" spans="1:41" ht="12.75" customHeight="1" x14ac:dyDescent="0.15">
      <c r="A10" s="180">
        <v>3</v>
      </c>
      <c r="B10" s="185">
        <v>27</v>
      </c>
      <c r="C10" s="185">
        <v>26</v>
      </c>
      <c r="D10" s="185">
        <f t="shared" si="0"/>
        <v>26.221153846153843</v>
      </c>
      <c r="E10" s="185">
        <v>27</v>
      </c>
      <c r="F10" s="185">
        <v>26</v>
      </c>
      <c r="G10" s="2">
        <v>26</v>
      </c>
      <c r="H10" s="15"/>
    </row>
    <row r="11" spans="1:41" ht="12.75" customHeight="1" x14ac:dyDescent="0.15">
      <c r="A11" s="180">
        <v>4</v>
      </c>
      <c r="B11" s="185">
        <v>30</v>
      </c>
      <c r="C11" s="185">
        <v>29</v>
      </c>
      <c r="D11" s="185">
        <f t="shared" si="0"/>
        <v>28.163461538461537</v>
      </c>
      <c r="E11" s="185">
        <v>29</v>
      </c>
      <c r="F11" s="185">
        <v>29</v>
      </c>
      <c r="G11" s="2">
        <v>28</v>
      </c>
      <c r="H11" s="15"/>
      <c r="Q11" s="201"/>
      <c r="R11" s="185"/>
      <c r="S11" s="201"/>
      <c r="T11" s="185"/>
      <c r="U11" s="202"/>
      <c r="V11" s="202"/>
      <c r="W11" s="185"/>
      <c r="X11" s="202"/>
      <c r="Y11" s="185"/>
      <c r="Z11" s="202"/>
      <c r="AA11" s="202"/>
      <c r="AB11" s="185"/>
      <c r="AC11" s="202"/>
      <c r="AD11" s="202"/>
      <c r="AE11" s="185"/>
      <c r="AF11" s="202"/>
      <c r="AG11" s="203"/>
      <c r="AH11" s="185"/>
      <c r="AI11" s="203"/>
      <c r="AJ11" s="185"/>
      <c r="AK11" s="203"/>
      <c r="AL11" s="185"/>
      <c r="AM11" s="204"/>
      <c r="AN11" s="203"/>
      <c r="AO11" s="203"/>
    </row>
    <row r="12" spans="1:41" ht="12.75" customHeight="1" x14ac:dyDescent="0.15">
      <c r="A12" s="180">
        <v>5</v>
      </c>
      <c r="B12" s="185">
        <v>32</v>
      </c>
      <c r="C12" s="185">
        <v>31</v>
      </c>
      <c r="D12" s="185">
        <f t="shared" si="0"/>
        <v>30.10576923076923</v>
      </c>
      <c r="E12" s="185">
        <v>31</v>
      </c>
      <c r="F12" s="185">
        <v>32</v>
      </c>
      <c r="G12" s="2">
        <v>30</v>
      </c>
      <c r="H12" s="15"/>
      <c r="Q12" s="201"/>
      <c r="R12" s="185"/>
      <c r="S12" s="201"/>
      <c r="T12" s="185"/>
      <c r="U12" s="202"/>
      <c r="V12" s="202"/>
      <c r="W12" s="185"/>
      <c r="X12" s="202"/>
      <c r="Y12" s="185"/>
      <c r="Z12" s="202"/>
      <c r="AA12" s="202"/>
      <c r="AB12" s="185"/>
      <c r="AC12" s="202"/>
      <c r="AD12" s="202"/>
      <c r="AE12" s="185"/>
      <c r="AF12" s="202"/>
      <c r="AG12" s="203"/>
      <c r="AH12" s="185"/>
      <c r="AI12" s="203"/>
      <c r="AJ12" s="185"/>
      <c r="AK12" s="203"/>
      <c r="AL12" s="185"/>
      <c r="AM12" s="204"/>
      <c r="AN12" s="203"/>
      <c r="AO12" s="203"/>
    </row>
    <row r="13" spans="1:41" ht="12.75" customHeight="1" x14ac:dyDescent="0.15">
      <c r="A13" s="180">
        <v>6</v>
      </c>
      <c r="B13" s="185">
        <v>34</v>
      </c>
      <c r="C13" s="185">
        <v>33</v>
      </c>
      <c r="D13" s="185">
        <f t="shared" si="0"/>
        <v>32.04807692307692</v>
      </c>
      <c r="E13" s="185">
        <v>33</v>
      </c>
      <c r="F13" s="185">
        <v>35</v>
      </c>
      <c r="G13" s="2">
        <v>32</v>
      </c>
      <c r="H13" s="15"/>
      <c r="Q13" s="201"/>
      <c r="R13" s="185"/>
      <c r="S13" s="201"/>
      <c r="T13" s="185"/>
      <c r="U13" s="202"/>
      <c r="V13" s="202"/>
      <c r="W13" s="185"/>
      <c r="X13" s="202"/>
      <c r="Y13" s="185"/>
      <c r="Z13" s="202"/>
      <c r="AA13" s="202"/>
      <c r="AB13" s="185"/>
      <c r="AC13" s="202"/>
      <c r="AD13" s="202"/>
      <c r="AE13" s="185"/>
      <c r="AF13" s="202"/>
      <c r="AG13" s="203"/>
      <c r="AH13" s="185"/>
      <c r="AI13" s="203"/>
      <c r="AJ13" s="185"/>
      <c r="AK13" s="203"/>
      <c r="AL13" s="185"/>
      <c r="AM13" s="204"/>
      <c r="AN13" s="203"/>
      <c r="AO13" s="203"/>
    </row>
    <row r="14" spans="1:41" ht="12.75" customHeight="1" thickBot="1" x14ac:dyDescent="0.2">
      <c r="A14" s="205">
        <v>7</v>
      </c>
      <c r="B14" s="206">
        <v>36</v>
      </c>
      <c r="C14" s="206">
        <v>35</v>
      </c>
      <c r="D14" s="206">
        <f t="shared" si="0"/>
        <v>33.990384615384613</v>
      </c>
      <c r="E14" s="206">
        <v>35</v>
      </c>
      <c r="F14" s="206">
        <v>38</v>
      </c>
      <c r="G14" s="3">
        <v>34</v>
      </c>
      <c r="H14" s="15">
        <f>SUM(G8:G14)/7</f>
        <v>28</v>
      </c>
      <c r="Q14" s="201"/>
      <c r="R14" s="185"/>
      <c r="S14" s="201"/>
      <c r="T14" s="185"/>
      <c r="U14" s="202"/>
      <c r="V14" s="202"/>
      <c r="W14" s="185"/>
      <c r="X14" s="202"/>
      <c r="Y14" s="185"/>
      <c r="Z14" s="202"/>
      <c r="AA14" s="202"/>
      <c r="AB14" s="185"/>
      <c r="AC14" s="202"/>
      <c r="AD14" s="202"/>
      <c r="AE14" s="185"/>
      <c r="AF14" s="202"/>
      <c r="AG14" s="203"/>
      <c r="AH14" s="185"/>
      <c r="AI14" s="203"/>
      <c r="AJ14" s="185"/>
      <c r="AK14" s="203"/>
      <c r="AL14" s="185"/>
      <c r="AM14" s="204"/>
      <c r="AN14" s="203"/>
      <c r="AO14" s="203"/>
    </row>
    <row r="15" spans="1:41" ht="12.75" customHeight="1" x14ac:dyDescent="0.15">
      <c r="A15" s="197">
        <v>8</v>
      </c>
      <c r="B15" s="198">
        <v>38</v>
      </c>
      <c r="C15" s="198">
        <v>36</v>
      </c>
      <c r="D15" s="198">
        <f t="shared" si="0"/>
        <v>35.932692307692307</v>
      </c>
      <c r="E15" s="198">
        <v>37</v>
      </c>
      <c r="F15" s="198">
        <v>41</v>
      </c>
      <c r="G15" s="1">
        <v>36</v>
      </c>
      <c r="H15" s="15"/>
    </row>
    <row r="16" spans="1:41" ht="12.75" customHeight="1" x14ac:dyDescent="0.15">
      <c r="A16" s="180">
        <v>9</v>
      </c>
      <c r="B16" s="185">
        <v>40</v>
      </c>
      <c r="C16" s="185">
        <v>39</v>
      </c>
      <c r="D16" s="185">
        <f t="shared" si="0"/>
        <v>37.875</v>
      </c>
      <c r="E16" s="185">
        <v>39</v>
      </c>
      <c r="F16" s="185">
        <v>44</v>
      </c>
      <c r="G16" s="2">
        <v>40</v>
      </c>
      <c r="H16" s="15"/>
    </row>
    <row r="17" spans="1:41" ht="12.75" customHeight="1" x14ac:dyDescent="0.15">
      <c r="A17" s="180">
        <v>10</v>
      </c>
      <c r="B17" s="185">
        <v>43</v>
      </c>
      <c r="C17" s="185">
        <v>41</v>
      </c>
      <c r="D17" s="185">
        <f t="shared" si="0"/>
        <v>40.78846153846154</v>
      </c>
      <c r="E17" s="185">
        <v>42</v>
      </c>
      <c r="F17" s="185">
        <v>47</v>
      </c>
      <c r="G17" s="2">
        <v>45</v>
      </c>
      <c r="H17" s="15"/>
    </row>
    <row r="18" spans="1:41" ht="12.75" customHeight="1" x14ac:dyDescent="0.15">
      <c r="A18" s="180">
        <v>11</v>
      </c>
      <c r="B18" s="185">
        <v>45</v>
      </c>
      <c r="C18" s="185">
        <v>43</v>
      </c>
      <c r="D18" s="185">
        <f t="shared" si="0"/>
        <v>42.730769230769226</v>
      </c>
      <c r="E18" s="185">
        <v>44</v>
      </c>
      <c r="F18" s="185">
        <v>51</v>
      </c>
      <c r="G18" s="2">
        <v>50</v>
      </c>
      <c r="H18" s="15"/>
    </row>
    <row r="19" spans="1:41" ht="12.75" customHeight="1" x14ac:dyDescent="0.15">
      <c r="A19" s="180">
        <v>12</v>
      </c>
      <c r="B19" s="185">
        <v>48</v>
      </c>
      <c r="C19" s="185">
        <v>46</v>
      </c>
      <c r="D19" s="185">
        <f t="shared" si="0"/>
        <v>45.644230769230766</v>
      </c>
      <c r="E19" s="185">
        <v>47</v>
      </c>
      <c r="F19" s="185">
        <v>55</v>
      </c>
      <c r="G19" s="2">
        <v>55</v>
      </c>
      <c r="H19" s="15"/>
    </row>
    <row r="20" spans="1:41" ht="12.75" customHeight="1" x14ac:dyDescent="0.15">
      <c r="A20" s="180">
        <v>13</v>
      </c>
      <c r="B20" s="185">
        <v>50</v>
      </c>
      <c r="C20" s="185">
        <v>48</v>
      </c>
      <c r="D20" s="185">
        <f t="shared" si="0"/>
        <v>47.58653846153846</v>
      </c>
      <c r="E20" s="185">
        <v>49</v>
      </c>
      <c r="F20" s="185">
        <v>59</v>
      </c>
      <c r="G20" s="2">
        <v>60</v>
      </c>
      <c r="H20" s="15"/>
    </row>
    <row r="21" spans="1:41" ht="12.75" customHeight="1" thickBot="1" x14ac:dyDescent="0.2">
      <c r="A21" s="207">
        <v>14</v>
      </c>
      <c r="B21" s="208">
        <v>54</v>
      </c>
      <c r="C21" s="208">
        <v>52</v>
      </c>
      <c r="D21" s="208">
        <f t="shared" si="0"/>
        <v>51.471153846153847</v>
      </c>
      <c r="E21" s="208">
        <v>53</v>
      </c>
      <c r="F21" s="208">
        <v>63</v>
      </c>
      <c r="G21" s="11">
        <v>65</v>
      </c>
      <c r="H21" s="9">
        <f>SUM(G15:G21)/7</f>
        <v>50.142857142857146</v>
      </c>
      <c r="R21" s="185"/>
      <c r="T21" s="185"/>
      <c r="U21" s="202"/>
      <c r="V21" s="202"/>
      <c r="W21" s="185"/>
      <c r="X21" s="202"/>
      <c r="Y21" s="185"/>
      <c r="Z21" s="202"/>
      <c r="AA21" s="202"/>
      <c r="AB21" s="185"/>
      <c r="AC21" s="202"/>
      <c r="AD21" s="202"/>
      <c r="AE21" s="185"/>
      <c r="AF21" s="202"/>
      <c r="AG21" s="203"/>
      <c r="AH21" s="185"/>
      <c r="AI21" s="203"/>
      <c r="AJ21" s="185"/>
      <c r="AK21" s="203"/>
      <c r="AL21" s="185"/>
      <c r="AM21" s="204"/>
      <c r="AN21" s="203"/>
      <c r="AO21" s="203"/>
    </row>
    <row r="22" spans="1:41" ht="12.75" customHeight="1" x14ac:dyDescent="0.15">
      <c r="A22" s="176">
        <v>15</v>
      </c>
      <c r="B22" s="209">
        <v>57</v>
      </c>
      <c r="C22" s="209">
        <v>55</v>
      </c>
      <c r="D22" s="209">
        <f t="shared" si="0"/>
        <v>54.384615384615387</v>
      </c>
      <c r="E22" s="209">
        <v>56</v>
      </c>
      <c r="F22" s="209">
        <v>66</v>
      </c>
      <c r="G22" s="12">
        <v>74</v>
      </c>
      <c r="H22" s="15"/>
    </row>
    <row r="23" spans="1:41" ht="12.75" customHeight="1" x14ac:dyDescent="0.15">
      <c r="A23" s="180">
        <v>16</v>
      </c>
      <c r="B23" s="185">
        <v>61</v>
      </c>
      <c r="C23" s="185">
        <v>58</v>
      </c>
      <c r="D23" s="185">
        <f t="shared" si="0"/>
        <v>57.298076923076927</v>
      </c>
      <c r="E23" s="185">
        <v>59</v>
      </c>
      <c r="F23" s="185">
        <v>70</v>
      </c>
      <c r="G23" s="4">
        <v>75</v>
      </c>
      <c r="H23" s="15"/>
    </row>
    <row r="24" spans="1:41" ht="12.75" customHeight="1" x14ac:dyDescent="0.15">
      <c r="A24" s="180">
        <v>17</v>
      </c>
      <c r="B24" s="185">
        <v>66</v>
      </c>
      <c r="C24" s="185">
        <v>62</v>
      </c>
      <c r="D24" s="185">
        <f t="shared" si="0"/>
        <v>62.153846153846153</v>
      </c>
      <c r="E24" s="185">
        <v>64</v>
      </c>
      <c r="F24" s="185">
        <v>73</v>
      </c>
      <c r="G24" s="4">
        <v>80</v>
      </c>
      <c r="H24" s="15"/>
    </row>
    <row r="25" spans="1:41" ht="12.75" customHeight="1" x14ac:dyDescent="0.15">
      <c r="A25" s="180">
        <v>18</v>
      </c>
      <c r="B25" s="185">
        <v>69</v>
      </c>
      <c r="C25" s="185">
        <v>66</v>
      </c>
      <c r="D25" s="185">
        <f t="shared" si="0"/>
        <v>66.038461538461547</v>
      </c>
      <c r="E25" s="185">
        <v>68</v>
      </c>
      <c r="F25" s="185">
        <v>77</v>
      </c>
      <c r="G25" s="4">
        <v>87</v>
      </c>
      <c r="H25" s="15"/>
    </row>
    <row r="26" spans="1:41" ht="12.75" customHeight="1" x14ac:dyDescent="0.15">
      <c r="A26" s="180">
        <v>19</v>
      </c>
      <c r="B26" s="185">
        <v>75</v>
      </c>
      <c r="C26" s="185">
        <v>72</v>
      </c>
      <c r="D26" s="185">
        <f t="shared" si="0"/>
        <v>70.894230769230774</v>
      </c>
      <c r="E26" s="185">
        <v>73</v>
      </c>
      <c r="F26" s="185">
        <v>81</v>
      </c>
      <c r="G26" s="4">
        <v>93</v>
      </c>
      <c r="H26" s="15"/>
    </row>
    <row r="27" spans="1:41" ht="12.75" customHeight="1" x14ac:dyDescent="0.15">
      <c r="A27" s="180">
        <v>20</v>
      </c>
      <c r="B27" s="185">
        <v>79</v>
      </c>
      <c r="C27" s="185">
        <v>77</v>
      </c>
      <c r="D27" s="185">
        <f t="shared" si="0"/>
        <v>75.75</v>
      </c>
      <c r="E27" s="185">
        <v>78</v>
      </c>
      <c r="F27" s="185">
        <v>85</v>
      </c>
      <c r="G27" s="4">
        <v>97</v>
      </c>
      <c r="H27" s="15"/>
    </row>
    <row r="28" spans="1:41" ht="12.75" customHeight="1" thickBot="1" x14ac:dyDescent="0.2">
      <c r="A28" s="205">
        <v>21</v>
      </c>
      <c r="B28" s="206">
        <v>84</v>
      </c>
      <c r="C28" s="206">
        <v>80</v>
      </c>
      <c r="D28" s="206">
        <f t="shared" si="0"/>
        <v>79.634615384615387</v>
      </c>
      <c r="E28" s="206">
        <v>82</v>
      </c>
      <c r="F28" s="206">
        <v>89</v>
      </c>
      <c r="G28" s="5">
        <v>103</v>
      </c>
      <c r="H28" s="15">
        <f>SUM(G22:G28)/7</f>
        <v>87</v>
      </c>
    </row>
    <row r="29" spans="1:41" ht="12.75" customHeight="1" x14ac:dyDescent="0.15">
      <c r="A29" s="176">
        <v>22</v>
      </c>
      <c r="B29" s="209">
        <v>90</v>
      </c>
      <c r="C29" s="209">
        <v>85</v>
      </c>
      <c r="D29" s="209">
        <f t="shared" si="0"/>
        <v>84.490384615384613</v>
      </c>
      <c r="E29" s="209">
        <v>87</v>
      </c>
      <c r="F29" s="209">
        <v>93</v>
      </c>
      <c r="G29" s="12">
        <v>107</v>
      </c>
      <c r="H29" s="15"/>
    </row>
    <row r="30" spans="1:41" ht="12.75" customHeight="1" x14ac:dyDescent="0.15">
      <c r="A30" s="180">
        <v>23</v>
      </c>
      <c r="B30" s="185">
        <v>94</v>
      </c>
      <c r="C30" s="185">
        <v>90</v>
      </c>
      <c r="D30" s="185">
        <f t="shared" si="0"/>
        <v>89.34615384615384</v>
      </c>
      <c r="E30" s="185">
        <v>92</v>
      </c>
      <c r="F30" s="185">
        <v>97</v>
      </c>
      <c r="G30" s="4">
        <v>113</v>
      </c>
      <c r="H30" s="15"/>
    </row>
    <row r="31" spans="1:41" ht="12.75" customHeight="1" x14ac:dyDescent="0.15">
      <c r="A31" s="180">
        <v>24</v>
      </c>
      <c r="B31" s="185">
        <v>98</v>
      </c>
      <c r="C31" s="185">
        <v>94</v>
      </c>
      <c r="D31" s="185">
        <f t="shared" si="0"/>
        <v>93.230769230769241</v>
      </c>
      <c r="E31" s="185">
        <v>96</v>
      </c>
      <c r="F31" s="185">
        <v>101</v>
      </c>
      <c r="G31" s="4">
        <v>118</v>
      </c>
      <c r="H31" s="15"/>
    </row>
    <row r="32" spans="1:41" ht="12.75" customHeight="1" x14ac:dyDescent="0.15">
      <c r="A32" s="180">
        <v>25</v>
      </c>
      <c r="B32" s="185">
        <v>101</v>
      </c>
      <c r="C32" s="185">
        <v>98</v>
      </c>
      <c r="D32" s="185">
        <f t="shared" si="0"/>
        <v>97.115384615384613</v>
      </c>
      <c r="E32" s="185">
        <v>100</v>
      </c>
      <c r="F32" s="185">
        <v>105</v>
      </c>
      <c r="G32" s="4">
        <v>122</v>
      </c>
      <c r="H32" s="15"/>
    </row>
    <row r="33" spans="1:8" ht="12.75" customHeight="1" x14ac:dyDescent="0.15">
      <c r="A33" s="180">
        <v>26</v>
      </c>
      <c r="B33" s="185">
        <v>106</v>
      </c>
      <c r="C33" s="185">
        <v>100</v>
      </c>
      <c r="D33" s="185">
        <f t="shared" si="0"/>
        <v>100.02884615384615</v>
      </c>
      <c r="E33" s="185">
        <v>103</v>
      </c>
      <c r="F33" s="185">
        <v>109</v>
      </c>
      <c r="G33" s="4">
        <v>128</v>
      </c>
      <c r="H33" s="15"/>
    </row>
    <row r="34" spans="1:8" ht="12.75" customHeight="1" x14ac:dyDescent="0.15">
      <c r="A34" s="180">
        <v>27</v>
      </c>
      <c r="B34" s="185">
        <v>109</v>
      </c>
      <c r="C34" s="185">
        <v>103</v>
      </c>
      <c r="D34" s="185">
        <f t="shared" si="0"/>
        <v>102.94230769230769</v>
      </c>
      <c r="E34" s="185">
        <v>106</v>
      </c>
      <c r="F34" s="185">
        <v>113</v>
      </c>
      <c r="G34" s="4">
        <v>134</v>
      </c>
    </row>
    <row r="35" spans="1:8" ht="12.75" customHeight="1" thickBot="1" x14ac:dyDescent="0.2">
      <c r="A35" s="205">
        <v>28</v>
      </c>
      <c r="B35" s="206">
        <v>113</v>
      </c>
      <c r="C35" s="206">
        <v>105</v>
      </c>
      <c r="D35" s="206">
        <f t="shared" si="0"/>
        <v>105.85576923076923</v>
      </c>
      <c r="E35" s="206">
        <v>109</v>
      </c>
      <c r="F35" s="206">
        <v>116</v>
      </c>
      <c r="G35" s="5">
        <v>139</v>
      </c>
      <c r="H35" s="9">
        <f>SUM(G29:G35)/7</f>
        <v>123</v>
      </c>
    </row>
    <row r="36" spans="1:8" ht="12.75" customHeight="1" x14ac:dyDescent="0.15">
      <c r="A36" s="197">
        <v>29</v>
      </c>
      <c r="B36" s="198">
        <v>117</v>
      </c>
      <c r="C36" s="198">
        <v>109</v>
      </c>
      <c r="D36" s="198">
        <f t="shared" si="0"/>
        <v>109.74038461538461</v>
      </c>
      <c r="E36" s="198">
        <v>113</v>
      </c>
      <c r="F36" s="198">
        <v>119</v>
      </c>
      <c r="G36" s="6">
        <v>140</v>
      </c>
      <c r="H36" s="15"/>
    </row>
    <row r="37" spans="1:8" ht="12.75" customHeight="1" x14ac:dyDescent="0.15">
      <c r="A37" s="180">
        <v>30</v>
      </c>
      <c r="B37" s="185">
        <v>119</v>
      </c>
      <c r="C37" s="185">
        <v>111</v>
      </c>
      <c r="D37" s="185">
        <f t="shared" si="0"/>
        <v>111.68269230769231</v>
      </c>
      <c r="E37" s="185">
        <v>115</v>
      </c>
      <c r="F37" s="185">
        <v>123</v>
      </c>
      <c r="G37" s="7">
        <v>142</v>
      </c>
      <c r="H37" s="15"/>
    </row>
    <row r="38" spans="1:8" ht="12.75" customHeight="1" x14ac:dyDescent="0.15">
      <c r="A38" s="180">
        <v>31</v>
      </c>
      <c r="B38" s="185">
        <v>122</v>
      </c>
      <c r="C38" s="185">
        <v>112</v>
      </c>
      <c r="D38" s="185">
        <f t="shared" si="0"/>
        <v>113.625</v>
      </c>
      <c r="E38" s="185">
        <v>117</v>
      </c>
      <c r="F38" s="185">
        <v>126</v>
      </c>
      <c r="G38" s="7">
        <v>149</v>
      </c>
      <c r="H38" s="15"/>
    </row>
    <row r="39" spans="1:8" ht="12.75" customHeight="1" x14ac:dyDescent="0.15">
      <c r="A39" s="180">
        <v>32</v>
      </c>
      <c r="B39" s="185">
        <v>123</v>
      </c>
      <c r="C39" s="185">
        <v>116</v>
      </c>
      <c r="D39" s="185">
        <f t="shared" si="0"/>
        <v>115.56730769230768</v>
      </c>
      <c r="E39" s="185">
        <v>119</v>
      </c>
      <c r="F39" s="185">
        <v>130</v>
      </c>
      <c r="G39" s="7">
        <v>153</v>
      </c>
      <c r="H39" s="15"/>
    </row>
    <row r="40" spans="1:8" ht="12.75" customHeight="1" x14ac:dyDescent="0.15">
      <c r="A40" s="180">
        <v>33</v>
      </c>
      <c r="B40" s="185">
        <v>127</v>
      </c>
      <c r="C40" s="185">
        <v>118</v>
      </c>
      <c r="D40" s="185">
        <f t="shared" si="0"/>
        <v>118.48076923076923</v>
      </c>
      <c r="E40" s="185">
        <v>122</v>
      </c>
      <c r="F40" s="185">
        <v>134</v>
      </c>
      <c r="G40" s="7">
        <v>158</v>
      </c>
      <c r="H40" s="15"/>
    </row>
    <row r="41" spans="1:8" ht="12.75" customHeight="1" x14ac:dyDescent="0.15">
      <c r="A41" s="180">
        <v>34</v>
      </c>
      <c r="B41" s="185">
        <v>129</v>
      </c>
      <c r="C41" s="185">
        <v>120</v>
      </c>
      <c r="D41" s="185">
        <f t="shared" si="0"/>
        <v>120.42307692307692</v>
      </c>
      <c r="E41" s="185">
        <v>124</v>
      </c>
      <c r="F41" s="185">
        <v>137</v>
      </c>
      <c r="G41" s="7">
        <v>163</v>
      </c>
    </row>
    <row r="42" spans="1:8" ht="12.75" customHeight="1" thickBot="1" x14ac:dyDescent="0.2">
      <c r="A42" s="207">
        <v>35</v>
      </c>
      <c r="B42" s="208">
        <v>131</v>
      </c>
      <c r="C42" s="208">
        <v>122</v>
      </c>
      <c r="D42" s="208">
        <f t="shared" si="0"/>
        <v>123.33653846153847</v>
      </c>
      <c r="E42" s="208">
        <v>127</v>
      </c>
      <c r="F42" s="208">
        <v>140</v>
      </c>
      <c r="G42" s="13">
        <v>165</v>
      </c>
      <c r="H42" s="9">
        <f>SUM(G36:G42)/7</f>
        <v>152.85714285714286</v>
      </c>
    </row>
    <row r="43" spans="1:8" ht="12.75" customHeight="1" x14ac:dyDescent="0.15">
      <c r="A43" s="176">
        <v>36</v>
      </c>
      <c r="B43" s="209">
        <v>133</v>
      </c>
      <c r="C43" s="209">
        <v>124</v>
      </c>
      <c r="D43" s="209">
        <f t="shared" si="0"/>
        <v>124.30769230769231</v>
      </c>
      <c r="E43" s="209">
        <v>128</v>
      </c>
      <c r="F43" s="209">
        <v>143</v>
      </c>
      <c r="G43" s="14">
        <v>168</v>
      </c>
      <c r="H43" s="15"/>
    </row>
    <row r="44" spans="1:8" ht="12.75" customHeight="1" x14ac:dyDescent="0.15">
      <c r="A44" s="180">
        <v>37</v>
      </c>
      <c r="B44" s="185">
        <v>135</v>
      </c>
      <c r="C44" s="185">
        <v>127</v>
      </c>
      <c r="D44" s="185">
        <f t="shared" si="0"/>
        <v>127.22115384615384</v>
      </c>
      <c r="E44" s="185">
        <v>131</v>
      </c>
      <c r="F44" s="185">
        <v>146</v>
      </c>
      <c r="G44" s="7">
        <v>171</v>
      </c>
      <c r="H44" s="15"/>
    </row>
    <row r="45" spans="1:8" ht="12.75" customHeight="1" x14ac:dyDescent="0.15">
      <c r="A45" s="180">
        <v>38</v>
      </c>
      <c r="B45" s="185">
        <v>138</v>
      </c>
      <c r="C45" s="185">
        <v>130</v>
      </c>
      <c r="D45" s="185">
        <f t="shared" si="0"/>
        <v>130.13461538461539</v>
      </c>
      <c r="E45" s="185">
        <v>134</v>
      </c>
      <c r="F45" s="185">
        <v>149</v>
      </c>
      <c r="G45" s="7">
        <v>174</v>
      </c>
      <c r="H45" s="15"/>
    </row>
    <row r="46" spans="1:8" ht="12.75" customHeight="1" x14ac:dyDescent="0.15">
      <c r="A46" s="180">
        <v>39</v>
      </c>
      <c r="B46" s="185">
        <v>139</v>
      </c>
      <c r="C46" s="185">
        <v>131</v>
      </c>
      <c r="D46" s="185">
        <f t="shared" si="0"/>
        <v>131.10576923076923</v>
      </c>
      <c r="E46" s="185">
        <v>135</v>
      </c>
      <c r="F46" s="185">
        <v>152</v>
      </c>
      <c r="G46" s="7">
        <v>176</v>
      </c>
      <c r="H46" s="15"/>
    </row>
    <row r="47" spans="1:8" ht="12.75" customHeight="1" x14ac:dyDescent="0.15">
      <c r="A47" s="180">
        <v>40</v>
      </c>
      <c r="B47" s="185">
        <v>141</v>
      </c>
      <c r="C47" s="185">
        <v>133</v>
      </c>
      <c r="D47" s="185">
        <f t="shared" si="0"/>
        <v>133.04807692307693</v>
      </c>
      <c r="E47" s="185">
        <v>137</v>
      </c>
      <c r="F47" s="185">
        <v>154</v>
      </c>
      <c r="G47" s="7">
        <v>178</v>
      </c>
      <c r="H47" s="15"/>
    </row>
    <row r="48" spans="1:8" ht="12.75" customHeight="1" x14ac:dyDescent="0.15">
      <c r="A48" s="180">
        <v>41</v>
      </c>
      <c r="B48" s="185">
        <v>142</v>
      </c>
      <c r="C48" s="185">
        <v>134</v>
      </c>
      <c r="D48" s="185">
        <f t="shared" si="0"/>
        <v>134.01923076923077</v>
      </c>
      <c r="E48" s="185">
        <v>138</v>
      </c>
      <c r="F48" s="185">
        <v>157</v>
      </c>
      <c r="G48" s="7">
        <v>180</v>
      </c>
    </row>
    <row r="49" spans="1:8" ht="12.75" customHeight="1" thickBot="1" x14ac:dyDescent="0.2">
      <c r="A49" s="205">
        <v>42</v>
      </c>
      <c r="B49" s="206">
        <v>144</v>
      </c>
      <c r="C49" s="206">
        <v>135</v>
      </c>
      <c r="D49" s="206">
        <f>(E49*2.02/2.08)</f>
        <v>134.99038461538461</v>
      </c>
      <c r="E49" s="206">
        <v>139</v>
      </c>
      <c r="F49" s="206">
        <v>160</v>
      </c>
      <c r="G49" s="8">
        <v>181</v>
      </c>
      <c r="H49" s="9">
        <f>SUM(G43:G49)/7</f>
        <v>175.42857142857142</v>
      </c>
    </row>
    <row r="50" spans="1:8" ht="12.75" customHeight="1" x14ac:dyDescent="0.15">
      <c r="A50" s="197">
        <v>43</v>
      </c>
      <c r="B50" s="198">
        <v>145</v>
      </c>
      <c r="C50" s="198">
        <v>136</v>
      </c>
      <c r="D50" s="198">
        <f t="shared" si="0"/>
        <v>135.96153846153845</v>
      </c>
      <c r="E50" s="198">
        <v>140</v>
      </c>
      <c r="F50" s="198">
        <v>163</v>
      </c>
      <c r="G50" s="210">
        <v>188</v>
      </c>
      <c r="H50" s="15"/>
    </row>
    <row r="51" spans="1:8" ht="12.75" customHeight="1" x14ac:dyDescent="0.15">
      <c r="A51" s="180">
        <v>44</v>
      </c>
      <c r="B51" s="185">
        <v>146</v>
      </c>
      <c r="C51" s="185">
        <v>138</v>
      </c>
      <c r="D51" s="185">
        <f t="shared" si="0"/>
        <v>136.93269230769229</v>
      </c>
      <c r="E51" s="185">
        <v>141</v>
      </c>
      <c r="F51" s="185">
        <v>165</v>
      </c>
      <c r="G51" s="187">
        <v>190</v>
      </c>
      <c r="H51" s="15"/>
    </row>
    <row r="52" spans="1:8" ht="12.75" customHeight="1" x14ac:dyDescent="0.15">
      <c r="A52" s="180">
        <v>45</v>
      </c>
      <c r="B52" s="185">
        <v>149</v>
      </c>
      <c r="C52" s="185">
        <v>139</v>
      </c>
      <c r="D52" s="185">
        <f t="shared" si="0"/>
        <v>137.90384615384613</v>
      </c>
      <c r="E52" s="185">
        <v>142</v>
      </c>
      <c r="F52" s="185">
        <v>169</v>
      </c>
      <c r="G52" s="187">
        <v>192</v>
      </c>
      <c r="H52" s="15"/>
    </row>
    <row r="53" spans="1:8" ht="12.75" customHeight="1" x14ac:dyDescent="0.15">
      <c r="A53" s="180">
        <v>46</v>
      </c>
      <c r="B53" s="185">
        <v>150</v>
      </c>
      <c r="C53" s="185">
        <v>140</v>
      </c>
      <c r="D53" s="185">
        <f t="shared" si="0"/>
        <v>139.84615384615384</v>
      </c>
      <c r="E53" s="185">
        <v>144</v>
      </c>
      <c r="F53" s="185">
        <v>172</v>
      </c>
      <c r="G53" s="187">
        <v>193</v>
      </c>
      <c r="H53" s="15"/>
    </row>
    <row r="54" spans="1:8" ht="12.75" customHeight="1" x14ac:dyDescent="0.15">
      <c r="A54" s="180">
        <v>47</v>
      </c>
      <c r="B54" s="185">
        <v>151</v>
      </c>
      <c r="C54" s="185">
        <v>141</v>
      </c>
      <c r="D54" s="185">
        <f t="shared" si="0"/>
        <v>140.81730769230768</v>
      </c>
      <c r="E54" s="185">
        <v>145</v>
      </c>
      <c r="F54" s="185">
        <v>174</v>
      </c>
      <c r="G54" s="187">
        <v>194</v>
      </c>
      <c r="H54" s="15"/>
    </row>
    <row r="55" spans="1:8" ht="12.75" customHeight="1" x14ac:dyDescent="0.15">
      <c r="A55" s="180">
        <v>48</v>
      </c>
      <c r="B55" s="185">
        <v>153</v>
      </c>
      <c r="C55" s="185">
        <v>142</v>
      </c>
      <c r="D55" s="185">
        <f t="shared" si="0"/>
        <v>141.78846153846155</v>
      </c>
      <c r="E55" s="185">
        <v>146</v>
      </c>
      <c r="F55" s="185">
        <v>177</v>
      </c>
      <c r="G55" s="187">
        <v>195</v>
      </c>
    </row>
    <row r="56" spans="1:8" ht="12.75" customHeight="1" thickBot="1" x14ac:dyDescent="0.2">
      <c r="A56" s="207">
        <v>49</v>
      </c>
      <c r="B56" s="208">
        <v>155</v>
      </c>
      <c r="C56" s="208">
        <v>143</v>
      </c>
      <c r="D56" s="208">
        <f t="shared" si="0"/>
        <v>143.73076923076923</v>
      </c>
      <c r="E56" s="208">
        <v>148</v>
      </c>
      <c r="F56" s="208">
        <v>179</v>
      </c>
      <c r="G56" s="211">
        <v>196</v>
      </c>
      <c r="H56" s="9">
        <f>SUM(G49:G55)/7</f>
        <v>190.42857142857142</v>
      </c>
    </row>
    <row r="57" spans="1:8" ht="12.75" customHeight="1" x14ac:dyDescent="0.15">
      <c r="A57" s="176">
        <v>50</v>
      </c>
      <c r="B57" s="209">
        <v>157</v>
      </c>
      <c r="C57" s="209">
        <v>144</v>
      </c>
      <c r="D57" s="209">
        <f t="shared" si="0"/>
        <v>145.67307692307691</v>
      </c>
      <c r="E57" s="209">
        <v>150</v>
      </c>
      <c r="F57" s="209">
        <v>182</v>
      </c>
      <c r="G57" s="212">
        <v>197</v>
      </c>
      <c r="H57" s="9"/>
    </row>
    <row r="58" spans="1:8" ht="12.75" customHeight="1" x14ac:dyDescent="0.15">
      <c r="A58" s="180">
        <v>51</v>
      </c>
      <c r="B58" s="185">
        <v>159</v>
      </c>
      <c r="C58" s="185">
        <v>145</v>
      </c>
      <c r="D58" s="185">
        <f t="shared" si="0"/>
        <v>147.61538461538461</v>
      </c>
      <c r="E58" s="185">
        <v>152</v>
      </c>
      <c r="F58" s="185">
        <v>185</v>
      </c>
      <c r="G58" s="187">
        <v>197</v>
      </c>
      <c r="H58" s="9"/>
    </row>
    <row r="59" spans="1:8" ht="12.75" customHeight="1" x14ac:dyDescent="0.15">
      <c r="A59" s="180">
        <v>52</v>
      </c>
      <c r="B59" s="185">
        <f t="shared" ref="B59:C74" si="1">(B57+2)</f>
        <v>159</v>
      </c>
      <c r="C59" s="185">
        <f t="shared" si="1"/>
        <v>146</v>
      </c>
      <c r="D59" s="185">
        <f t="shared" si="0"/>
        <v>149.55769230769229</v>
      </c>
      <c r="E59" s="185">
        <v>154</v>
      </c>
      <c r="F59" s="185">
        <v>188</v>
      </c>
      <c r="G59" s="187">
        <v>197</v>
      </c>
      <c r="H59" s="9"/>
    </row>
    <row r="60" spans="1:8" ht="12.75" customHeight="1" x14ac:dyDescent="0.15">
      <c r="A60" s="213">
        <v>53</v>
      </c>
      <c r="B60" s="185">
        <f t="shared" si="1"/>
        <v>161</v>
      </c>
      <c r="C60" s="185">
        <f t="shared" si="1"/>
        <v>147</v>
      </c>
      <c r="D60" s="185">
        <f t="shared" si="0"/>
        <v>151.5</v>
      </c>
      <c r="E60" s="175">
        <v>156</v>
      </c>
      <c r="F60" s="185">
        <v>193</v>
      </c>
      <c r="G60" s="187">
        <v>198</v>
      </c>
      <c r="H60" s="9"/>
    </row>
    <row r="61" spans="1:8" ht="12.75" customHeight="1" x14ac:dyDescent="0.15">
      <c r="A61" s="213">
        <v>54</v>
      </c>
      <c r="B61" s="185">
        <f t="shared" si="1"/>
        <v>161</v>
      </c>
      <c r="C61" s="185">
        <f t="shared" si="1"/>
        <v>148</v>
      </c>
      <c r="D61" s="185">
        <f t="shared" si="0"/>
        <v>153.44230769230771</v>
      </c>
      <c r="E61" s="175">
        <v>158</v>
      </c>
      <c r="F61" s="185">
        <v>195</v>
      </c>
      <c r="G61" s="187">
        <v>197</v>
      </c>
      <c r="H61" s="9"/>
    </row>
    <row r="62" spans="1:8" ht="12.75" customHeight="1" x14ac:dyDescent="0.15">
      <c r="A62" s="213">
        <v>55</v>
      </c>
      <c r="B62" s="185">
        <f t="shared" si="1"/>
        <v>163</v>
      </c>
      <c r="C62" s="185">
        <f t="shared" si="1"/>
        <v>149</v>
      </c>
      <c r="D62" s="185">
        <f t="shared" si="0"/>
        <v>155.38461538461539</v>
      </c>
      <c r="E62" s="175">
        <v>160</v>
      </c>
      <c r="F62" s="185">
        <v>199</v>
      </c>
      <c r="G62" s="211">
        <v>198</v>
      </c>
      <c r="H62" s="9"/>
    </row>
    <row r="63" spans="1:8" ht="12.75" customHeight="1" thickBot="1" x14ac:dyDescent="0.2">
      <c r="A63" s="214">
        <v>56</v>
      </c>
      <c r="B63" s="206">
        <f t="shared" si="1"/>
        <v>163</v>
      </c>
      <c r="C63" s="206">
        <f t="shared" si="1"/>
        <v>150</v>
      </c>
      <c r="D63" s="206">
        <f t="shared" si="0"/>
        <v>157.32692307692307</v>
      </c>
      <c r="E63" s="215">
        <v>162</v>
      </c>
      <c r="F63" s="206">
        <v>202</v>
      </c>
      <c r="G63" s="216">
        <v>197</v>
      </c>
      <c r="H63" s="9">
        <f>SUM(G56:G62)/7</f>
        <v>197.14285714285714</v>
      </c>
    </row>
    <row r="64" spans="1:8" ht="12.75" customHeight="1" x14ac:dyDescent="0.15">
      <c r="A64" s="217">
        <v>57</v>
      </c>
      <c r="B64" s="198">
        <f t="shared" si="1"/>
        <v>165</v>
      </c>
      <c r="C64" s="198">
        <f t="shared" si="1"/>
        <v>151</v>
      </c>
      <c r="D64" s="198">
        <f t="shared" si="0"/>
        <v>159.26923076923077</v>
      </c>
      <c r="E64" s="200">
        <v>164</v>
      </c>
      <c r="F64" s="198">
        <v>205</v>
      </c>
      <c r="G64" s="210">
        <v>195</v>
      </c>
      <c r="H64" s="9"/>
    </row>
    <row r="65" spans="1:8" ht="12.75" customHeight="1" x14ac:dyDescent="0.15">
      <c r="A65" s="213">
        <v>58</v>
      </c>
      <c r="B65" s="185">
        <f t="shared" si="1"/>
        <v>165</v>
      </c>
      <c r="C65" s="185">
        <f t="shared" si="1"/>
        <v>152</v>
      </c>
      <c r="D65" s="185">
        <f t="shared" si="0"/>
        <v>161.21153846153845</v>
      </c>
      <c r="E65" s="175">
        <v>166</v>
      </c>
      <c r="F65" s="185">
        <v>208</v>
      </c>
      <c r="G65" s="187">
        <v>195</v>
      </c>
      <c r="H65" s="9"/>
    </row>
    <row r="66" spans="1:8" ht="12.75" customHeight="1" x14ac:dyDescent="0.15">
      <c r="A66" s="213">
        <v>59</v>
      </c>
      <c r="B66" s="185">
        <f t="shared" si="1"/>
        <v>167</v>
      </c>
      <c r="C66" s="185">
        <f t="shared" si="1"/>
        <v>153</v>
      </c>
      <c r="D66" s="185">
        <f t="shared" si="0"/>
        <v>163.15384615384616</v>
      </c>
      <c r="E66" s="175">
        <v>168</v>
      </c>
      <c r="F66" s="185">
        <v>211</v>
      </c>
      <c r="G66" s="187">
        <v>195</v>
      </c>
      <c r="H66" s="9"/>
    </row>
    <row r="67" spans="1:8" ht="12.75" customHeight="1" x14ac:dyDescent="0.15">
      <c r="A67" s="213">
        <v>60</v>
      </c>
      <c r="B67" s="185">
        <f t="shared" si="1"/>
        <v>167</v>
      </c>
      <c r="C67" s="185">
        <f t="shared" si="1"/>
        <v>154</v>
      </c>
      <c r="D67" s="185">
        <f t="shared" si="0"/>
        <v>165.09615384615384</v>
      </c>
      <c r="E67" s="175">
        <v>170</v>
      </c>
      <c r="F67" s="185">
        <v>218</v>
      </c>
      <c r="G67" s="187">
        <v>195</v>
      </c>
      <c r="H67" s="9"/>
    </row>
    <row r="68" spans="1:8" ht="12.75" customHeight="1" x14ac:dyDescent="0.15">
      <c r="A68" s="213">
        <v>61</v>
      </c>
      <c r="B68" s="185">
        <f t="shared" si="1"/>
        <v>169</v>
      </c>
      <c r="C68" s="185">
        <f t="shared" si="1"/>
        <v>155</v>
      </c>
      <c r="D68" s="185">
        <f t="shared" si="0"/>
        <v>167.03846153846152</v>
      </c>
      <c r="E68" s="175">
        <f t="shared" ref="E68:E77" si="2">(E67+2)</f>
        <v>172</v>
      </c>
      <c r="F68" s="185">
        <v>221</v>
      </c>
      <c r="G68" s="187">
        <v>195</v>
      </c>
      <c r="H68" s="9"/>
    </row>
    <row r="69" spans="1:8" ht="12.75" customHeight="1" x14ac:dyDescent="0.15">
      <c r="A69" s="213">
        <v>62</v>
      </c>
      <c r="B69" s="185">
        <f t="shared" si="1"/>
        <v>169</v>
      </c>
      <c r="C69" s="185">
        <f t="shared" si="1"/>
        <v>156</v>
      </c>
      <c r="D69" s="185">
        <f t="shared" si="0"/>
        <v>168.98076923076923</v>
      </c>
      <c r="E69" s="175">
        <f t="shared" si="2"/>
        <v>174</v>
      </c>
      <c r="F69" s="185">
        <v>234</v>
      </c>
      <c r="G69" s="187">
        <v>195</v>
      </c>
      <c r="H69" s="9"/>
    </row>
    <row r="70" spans="1:8" ht="12.75" customHeight="1" x14ac:dyDescent="0.15">
      <c r="A70" s="213">
        <v>63</v>
      </c>
      <c r="B70" s="185">
        <f t="shared" si="1"/>
        <v>171</v>
      </c>
      <c r="C70" s="185">
        <f t="shared" si="1"/>
        <v>157</v>
      </c>
      <c r="D70" s="185">
        <f t="shared" si="0"/>
        <v>170.92307692307691</v>
      </c>
      <c r="E70" s="175">
        <f t="shared" si="2"/>
        <v>176</v>
      </c>
      <c r="F70" s="185">
        <v>234</v>
      </c>
      <c r="G70" s="187">
        <v>195</v>
      </c>
      <c r="H70" s="9"/>
    </row>
    <row r="71" spans="1:8" ht="12.75" customHeight="1" x14ac:dyDescent="0.15">
      <c r="A71" s="213">
        <v>64</v>
      </c>
      <c r="B71" s="185">
        <f t="shared" si="1"/>
        <v>171</v>
      </c>
      <c r="C71" s="185">
        <f t="shared" si="1"/>
        <v>158</v>
      </c>
      <c r="D71" s="185">
        <f t="shared" si="0"/>
        <v>172.86538461538461</v>
      </c>
      <c r="E71" s="175">
        <f t="shared" si="2"/>
        <v>178</v>
      </c>
      <c r="F71" s="185">
        <v>234</v>
      </c>
      <c r="G71" s="187">
        <v>195</v>
      </c>
      <c r="H71" s="9"/>
    </row>
    <row r="72" spans="1:8" ht="12.75" customHeight="1" x14ac:dyDescent="0.15">
      <c r="A72" s="213">
        <v>65</v>
      </c>
      <c r="B72" s="185">
        <f t="shared" si="1"/>
        <v>173</v>
      </c>
      <c r="C72" s="185">
        <f t="shared" si="1"/>
        <v>159</v>
      </c>
      <c r="D72" s="185">
        <f t="shared" ref="D72:D77" si="3">(E72*2.02/2.08)</f>
        <v>174.80769230769232</v>
      </c>
      <c r="E72" s="175">
        <f t="shared" si="2"/>
        <v>180</v>
      </c>
      <c r="F72" s="185">
        <v>234</v>
      </c>
      <c r="G72" s="187">
        <v>195</v>
      </c>
      <c r="H72" s="9"/>
    </row>
    <row r="73" spans="1:8" ht="12.75" customHeight="1" x14ac:dyDescent="0.15">
      <c r="A73" s="213">
        <v>66</v>
      </c>
      <c r="B73" s="185">
        <f t="shared" si="1"/>
        <v>173</v>
      </c>
      <c r="C73" s="185">
        <f t="shared" si="1"/>
        <v>160</v>
      </c>
      <c r="D73" s="185">
        <f t="shared" si="3"/>
        <v>176.75</v>
      </c>
      <c r="E73" s="175">
        <f t="shared" si="2"/>
        <v>182</v>
      </c>
      <c r="F73" s="185">
        <v>234</v>
      </c>
      <c r="G73" s="187">
        <v>195</v>
      </c>
      <c r="H73" s="9"/>
    </row>
    <row r="74" spans="1:8" ht="12.75" customHeight="1" x14ac:dyDescent="0.15">
      <c r="A74" s="213">
        <v>67</v>
      </c>
      <c r="B74" s="185">
        <f t="shared" si="1"/>
        <v>175</v>
      </c>
      <c r="C74" s="185">
        <f t="shared" si="1"/>
        <v>161</v>
      </c>
      <c r="D74" s="185">
        <f t="shared" si="3"/>
        <v>178.69230769230768</v>
      </c>
      <c r="E74" s="175">
        <f t="shared" si="2"/>
        <v>184</v>
      </c>
      <c r="F74" s="185">
        <v>234</v>
      </c>
      <c r="G74" s="187">
        <v>195</v>
      </c>
      <c r="H74" s="9"/>
    </row>
    <row r="75" spans="1:8" ht="12.75" customHeight="1" x14ac:dyDescent="0.15">
      <c r="A75" s="213">
        <v>68</v>
      </c>
      <c r="B75" s="185">
        <f t="shared" ref="B75:C77" si="4">(B73+2)</f>
        <v>175</v>
      </c>
      <c r="C75" s="185">
        <f t="shared" si="4"/>
        <v>162</v>
      </c>
      <c r="D75" s="185">
        <f t="shared" si="3"/>
        <v>180.63461538461539</v>
      </c>
      <c r="E75" s="175">
        <f t="shared" si="2"/>
        <v>186</v>
      </c>
      <c r="F75" s="185">
        <v>234</v>
      </c>
      <c r="G75" s="187">
        <v>195</v>
      </c>
      <c r="H75" s="9"/>
    </row>
    <row r="76" spans="1:8" ht="12.75" customHeight="1" x14ac:dyDescent="0.15">
      <c r="A76" s="213">
        <v>69</v>
      </c>
      <c r="B76" s="185">
        <f t="shared" si="4"/>
        <v>177</v>
      </c>
      <c r="C76" s="185">
        <f t="shared" si="4"/>
        <v>163</v>
      </c>
      <c r="D76" s="185">
        <f t="shared" si="3"/>
        <v>182.57692307692307</v>
      </c>
      <c r="E76" s="175">
        <f t="shared" si="2"/>
        <v>188</v>
      </c>
      <c r="F76" s="185">
        <v>234</v>
      </c>
      <c r="G76" s="187">
        <v>195</v>
      </c>
      <c r="H76" s="9"/>
    </row>
    <row r="77" spans="1:8" ht="12.75" customHeight="1" x14ac:dyDescent="0.15">
      <c r="A77" s="213">
        <v>70</v>
      </c>
      <c r="B77" s="185">
        <f t="shared" si="4"/>
        <v>177</v>
      </c>
      <c r="C77" s="185">
        <f t="shared" si="4"/>
        <v>164</v>
      </c>
      <c r="D77" s="185">
        <f t="shared" si="3"/>
        <v>184.51923076923077</v>
      </c>
      <c r="E77" s="175">
        <f t="shared" si="2"/>
        <v>190</v>
      </c>
      <c r="F77" s="185">
        <v>234</v>
      </c>
      <c r="G77" s="187">
        <v>195</v>
      </c>
      <c r="H77" s="9"/>
    </row>
    <row r="78" spans="1:8" ht="12.75" customHeight="1" x14ac:dyDescent="0.15">
      <c r="A78" s="218"/>
      <c r="G78" s="187"/>
      <c r="H78" s="9"/>
    </row>
    <row r="79" spans="1:8" ht="12.75" customHeight="1" thickBot="1" x14ac:dyDescent="0.2">
      <c r="A79" s="219"/>
      <c r="B79" s="215"/>
      <c r="C79" s="215"/>
      <c r="D79" s="215"/>
      <c r="E79" s="215"/>
      <c r="F79" s="215"/>
      <c r="G79" s="216"/>
      <c r="H79" s="9"/>
    </row>
    <row r="80" spans="1:8" x14ac:dyDescent="0.15">
      <c r="A80" s="200"/>
      <c r="B80" s="200"/>
      <c r="C80" s="200"/>
      <c r="D80" s="200"/>
      <c r="E80" s="200"/>
      <c r="F80" s="200"/>
      <c r="G80" s="20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Y78"/>
  <sheetViews>
    <sheetView tabSelected="1" topLeftCell="C1" zoomScale="70" zoomScaleNormal="70" workbookViewId="0">
      <pane ySplit="10" topLeftCell="C14" activePane="bottomLeft" state="frozen"/>
      <selection activeCell="E30" activeCellId="1" sqref="E32:E33 E30"/>
      <selection pane="bottomLeft" activeCell="C1" sqref="C1:M1048576"/>
    </sheetView>
  </sheetViews>
  <sheetFormatPr defaultColWidth="14.6953125" defaultRowHeight="22.5" x14ac:dyDescent="0.25"/>
  <cols>
    <col min="1" max="1" width="5.52734375" style="25" customWidth="1"/>
    <col min="2" max="2" width="16.5859375" style="25" customWidth="1"/>
    <col min="3" max="13" width="16.5859375" style="463" customWidth="1"/>
    <col min="14" max="14" width="44.23046875" style="25" customWidth="1"/>
    <col min="15" max="15" width="14.5625" style="57" customWidth="1"/>
    <col min="16" max="16" width="17.6640625" style="57" customWidth="1"/>
    <col min="17" max="17" width="10.11328125" style="57" customWidth="1"/>
    <col min="18" max="18" width="14.5625" style="57" customWidth="1"/>
    <col min="19" max="19" width="14.5625" style="25" customWidth="1"/>
    <col min="20" max="20" width="14.29296875" style="25" customWidth="1"/>
    <col min="21" max="21" width="12.40625" style="25" customWidth="1"/>
    <col min="22" max="22" width="11.59375" style="25" customWidth="1"/>
    <col min="23" max="23" width="12.13671875" style="25" customWidth="1"/>
    <col min="24" max="24" width="11.4609375" style="25" customWidth="1"/>
    <col min="25" max="25" width="16.046875" style="25" customWidth="1"/>
    <col min="26" max="26" width="11.0546875" style="25" customWidth="1"/>
    <col min="27" max="27" width="8.359375" style="169" customWidth="1"/>
    <col min="28" max="28" width="16.44921875" style="25" customWidth="1"/>
    <col min="29" max="29" width="21.44140625" style="25" customWidth="1"/>
    <col min="30" max="30" width="15.37109375" style="24" bestFit="1" customWidth="1"/>
    <col min="31" max="31" width="12.67578125" style="23" customWidth="1"/>
    <col min="32" max="32" width="15.37109375" style="24" bestFit="1" customWidth="1"/>
    <col min="33" max="33" width="12.5390625" style="23" customWidth="1"/>
    <col min="34" max="34" width="11.59375" style="24" customWidth="1"/>
    <col min="35" max="16384" width="14.6953125" style="25"/>
  </cols>
  <sheetData>
    <row r="1" spans="1:51" x14ac:dyDescent="0.25">
      <c r="A1" s="17" t="s">
        <v>28</v>
      </c>
      <c r="B1" s="17"/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18" t="s">
        <v>91</v>
      </c>
      <c r="O1" s="19"/>
      <c r="P1" s="19" t="s">
        <v>0</v>
      </c>
      <c r="Q1" s="19"/>
      <c r="R1" s="223" t="s">
        <v>44</v>
      </c>
      <c r="S1" s="19"/>
      <c r="T1" s="19"/>
      <c r="U1" s="17"/>
      <c r="V1" s="17"/>
      <c r="W1" s="17"/>
      <c r="X1" s="17"/>
      <c r="Y1" s="17"/>
      <c r="Z1" s="17"/>
      <c r="AA1" s="20"/>
      <c r="AB1" s="17"/>
      <c r="AC1" s="17"/>
      <c r="AD1" s="21"/>
      <c r="AE1" s="22"/>
      <c r="AF1" s="21"/>
    </row>
    <row r="2" spans="1:51" ht="21.2" customHeight="1" x14ac:dyDescent="0.25">
      <c r="A2" s="17" t="s">
        <v>29</v>
      </c>
      <c r="B2" s="17"/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19">
        <f>N4+N5+N6</f>
        <v>80800</v>
      </c>
      <c r="O2" s="19"/>
      <c r="P2" s="19"/>
      <c r="Q2" s="19"/>
      <c r="R2" s="26" t="s">
        <v>30</v>
      </c>
      <c r="S2" s="27">
        <f>(N2*0.325)</f>
        <v>26260</v>
      </c>
      <c r="T2" s="28" t="s">
        <v>31</v>
      </c>
      <c r="U2" s="17"/>
      <c r="V2" s="17"/>
      <c r="W2" s="17"/>
      <c r="X2" s="17"/>
      <c r="Y2" s="17"/>
      <c r="Z2" s="17"/>
      <c r="AA2" s="29"/>
      <c r="AB2" s="17"/>
      <c r="AC2" s="29"/>
      <c r="AD2" s="21"/>
      <c r="AE2" s="22"/>
      <c r="AF2" s="21"/>
    </row>
    <row r="3" spans="1:51" ht="22.15" customHeight="1" x14ac:dyDescent="0.25">
      <c r="A3" s="17" t="s">
        <v>32</v>
      </c>
      <c r="B3" s="17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  <c r="N3" s="30">
        <v>46101</v>
      </c>
      <c r="O3" s="19"/>
      <c r="P3" s="19"/>
      <c r="Q3" s="19"/>
      <c r="R3" s="31" t="s">
        <v>4</v>
      </c>
      <c r="S3" s="32">
        <f>(N2*1.15)</f>
        <v>92920</v>
      </c>
      <c r="T3" s="32" t="s">
        <v>31</v>
      </c>
      <c r="U3" s="413"/>
      <c r="V3" s="414"/>
      <c r="W3" s="414"/>
      <c r="X3" s="415"/>
      <c r="Y3" s="33" t="s">
        <v>62</v>
      </c>
      <c r="Z3" s="17"/>
      <c r="AA3" s="29"/>
      <c r="AB3" s="17"/>
      <c r="AC3" s="29"/>
      <c r="AD3" s="21"/>
      <c r="AE3" s="22"/>
      <c r="AF3" s="21"/>
    </row>
    <row r="4" spans="1:51" ht="19.899999999999999" customHeight="1" x14ac:dyDescent="0.25">
      <c r="A4" s="17"/>
      <c r="B4" s="33" t="s">
        <v>62</v>
      </c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34">
        <v>40500</v>
      </c>
      <c r="O4" s="35"/>
      <c r="P4" s="19"/>
      <c r="Q4" s="19"/>
      <c r="R4" s="36" t="s">
        <v>11</v>
      </c>
      <c r="S4" s="37">
        <f>(N2*1.7)</f>
        <v>137360</v>
      </c>
      <c r="T4" s="37" t="s">
        <v>31</v>
      </c>
      <c r="U4" s="416" t="s">
        <v>58</v>
      </c>
      <c r="V4" s="417"/>
      <c r="W4" s="417"/>
      <c r="X4" s="418"/>
      <c r="Y4" s="33" t="s">
        <v>63</v>
      </c>
      <c r="Z4" s="17"/>
      <c r="AA4" s="29"/>
      <c r="AB4" s="17"/>
      <c r="AC4" s="17"/>
      <c r="AD4" s="21"/>
      <c r="AE4" s="22"/>
      <c r="AF4" s="21"/>
    </row>
    <row r="5" spans="1:51" ht="19.149999999999999" customHeight="1" x14ac:dyDescent="0.25">
      <c r="A5" s="17"/>
      <c r="B5" s="33" t="s">
        <v>63</v>
      </c>
      <c r="C5" s="457"/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34">
        <v>40300</v>
      </c>
      <c r="O5" s="35"/>
      <c r="P5" s="19"/>
      <c r="Q5" s="19"/>
      <c r="R5" s="19" t="s">
        <v>33</v>
      </c>
      <c r="S5" s="17">
        <f>N2*1.5</f>
        <v>121200</v>
      </c>
      <c r="T5" s="38" t="s">
        <v>31</v>
      </c>
      <c r="U5" s="17"/>
      <c r="V5" s="17"/>
      <c r="W5" s="17"/>
      <c r="X5" s="17"/>
      <c r="Y5" s="39"/>
      <c r="Z5" s="39"/>
      <c r="AA5" s="29"/>
      <c r="AB5" s="39"/>
      <c r="AC5" s="29"/>
      <c r="AD5" s="21"/>
      <c r="AE5" s="22"/>
      <c r="AF5" s="21"/>
    </row>
    <row r="6" spans="1:51" ht="37.5" customHeight="1" x14ac:dyDescent="0.25">
      <c r="A6" s="17"/>
      <c r="B6" s="17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0"/>
      <c r="O6" s="35"/>
      <c r="P6" s="19"/>
      <c r="Q6" s="19"/>
      <c r="R6" s="19"/>
      <c r="S6" s="17"/>
      <c r="T6" s="41"/>
      <c r="U6" s="17"/>
      <c r="V6" s="17"/>
      <c r="W6" s="17"/>
      <c r="X6" s="17"/>
      <c r="Y6" s="39"/>
      <c r="Z6" s="39"/>
      <c r="AA6" s="29"/>
      <c r="AB6" s="42"/>
      <c r="AC6" s="43" t="s">
        <v>54</v>
      </c>
      <c r="AD6" s="44" t="s">
        <v>56</v>
      </c>
      <c r="AE6" s="45"/>
      <c r="AF6" s="44" t="s">
        <v>56</v>
      </c>
      <c r="AG6" s="45"/>
    </row>
    <row r="7" spans="1:51" x14ac:dyDescent="0.25">
      <c r="A7" s="17"/>
      <c r="B7" s="17"/>
      <c r="C7" s="456"/>
      <c r="D7" s="456"/>
      <c r="E7" s="456"/>
      <c r="F7" s="456"/>
      <c r="G7" s="456"/>
      <c r="H7" s="456"/>
      <c r="I7" s="456"/>
      <c r="J7" s="456"/>
      <c r="K7" s="456"/>
      <c r="L7" s="456"/>
      <c r="M7" s="456"/>
      <c r="N7" s="17"/>
      <c r="O7" s="19" t="s">
        <v>26</v>
      </c>
      <c r="P7" s="19"/>
      <c r="Q7" s="19"/>
      <c r="R7" s="19"/>
      <c r="S7" s="17"/>
      <c r="T7" s="17"/>
      <c r="U7" s="17"/>
      <c r="V7" s="19"/>
      <c r="W7" s="19"/>
      <c r="X7" s="19"/>
      <c r="Y7" s="39"/>
      <c r="Z7" s="39"/>
      <c r="AA7" s="29"/>
      <c r="AB7" s="46" t="s">
        <v>18</v>
      </c>
      <c r="AC7" s="43" t="s">
        <v>18</v>
      </c>
      <c r="AD7" s="44" t="s">
        <v>57</v>
      </c>
      <c r="AE7" s="45"/>
      <c r="AF7" s="47" t="s">
        <v>57</v>
      </c>
      <c r="AG7" s="45"/>
    </row>
    <row r="8" spans="1:51" s="57" customFormat="1" ht="42.75" thickBot="1" x14ac:dyDescent="0.3">
      <c r="A8" s="48" t="s">
        <v>15</v>
      </c>
      <c r="B8" s="48" t="s">
        <v>16</v>
      </c>
      <c r="C8" s="458"/>
      <c r="D8" s="458"/>
      <c r="E8" s="458"/>
      <c r="F8" s="458"/>
      <c r="G8" s="458"/>
      <c r="H8" s="458"/>
      <c r="I8" s="458"/>
      <c r="J8" s="458"/>
      <c r="K8" s="458"/>
      <c r="L8" s="458"/>
      <c r="M8" s="458"/>
      <c r="N8" s="48" t="s">
        <v>17</v>
      </c>
      <c r="O8" s="48" t="s">
        <v>18</v>
      </c>
      <c r="P8" s="48" t="s">
        <v>34</v>
      </c>
      <c r="Q8" s="48"/>
      <c r="R8" s="48" t="s">
        <v>18</v>
      </c>
      <c r="S8" s="48" t="s">
        <v>18</v>
      </c>
      <c r="T8" s="48" t="s">
        <v>18</v>
      </c>
      <c r="U8" s="48" t="s">
        <v>19</v>
      </c>
      <c r="V8" s="49" t="s">
        <v>20</v>
      </c>
      <c r="W8" s="49" t="s">
        <v>19</v>
      </c>
      <c r="X8" s="49" t="s">
        <v>19</v>
      </c>
      <c r="Y8" s="48" t="s">
        <v>21</v>
      </c>
      <c r="Z8" s="48" t="s">
        <v>22</v>
      </c>
      <c r="AA8" s="50" t="s">
        <v>0</v>
      </c>
      <c r="AB8" s="51" t="s">
        <v>52</v>
      </c>
      <c r="AC8" s="52" t="s">
        <v>55</v>
      </c>
      <c r="AD8" s="53" t="s">
        <v>62</v>
      </c>
      <c r="AE8" s="54" t="s">
        <v>59</v>
      </c>
      <c r="AF8" s="55" t="s">
        <v>63</v>
      </c>
      <c r="AG8" s="54" t="s">
        <v>59</v>
      </c>
      <c r="AH8" s="24"/>
      <c r="AI8" s="56"/>
      <c r="AL8" s="56"/>
      <c r="AM8" s="58"/>
      <c r="AO8" s="56"/>
      <c r="AP8" s="58"/>
      <c r="AQ8" s="59"/>
      <c r="AR8" s="56"/>
      <c r="AS8" s="59"/>
      <c r="AT8" s="56"/>
      <c r="AU8" s="59"/>
      <c r="AV8" s="59"/>
      <c r="AW8" s="59"/>
    </row>
    <row r="9" spans="1:51" s="73" customFormat="1" ht="21.2" customHeight="1" thickBot="1" x14ac:dyDescent="0.3">
      <c r="A9" s="60"/>
      <c r="B9" s="61"/>
      <c r="C9" s="459"/>
      <c r="D9" s="459"/>
      <c r="E9" s="459"/>
      <c r="F9" s="459"/>
      <c r="G9" s="459"/>
      <c r="H9" s="459"/>
      <c r="I9" s="459"/>
      <c r="J9" s="459"/>
      <c r="K9" s="459"/>
      <c r="L9" s="459"/>
      <c r="M9" s="459"/>
      <c r="N9" s="62">
        <v>43297</v>
      </c>
      <c r="O9" s="61" t="s">
        <v>35</v>
      </c>
      <c r="P9" s="61" t="s">
        <v>36</v>
      </c>
      <c r="Q9" s="61" t="s">
        <v>19</v>
      </c>
      <c r="R9" s="61" t="s">
        <v>23</v>
      </c>
      <c r="S9" s="61" t="s">
        <v>24</v>
      </c>
      <c r="T9" s="61" t="s">
        <v>25</v>
      </c>
      <c r="U9" s="61" t="s">
        <v>26</v>
      </c>
      <c r="V9" s="228" t="s">
        <v>37</v>
      </c>
      <c r="W9" s="61" t="s">
        <v>38</v>
      </c>
      <c r="X9" s="61" t="s">
        <v>39</v>
      </c>
      <c r="Y9" s="63" t="s">
        <v>49</v>
      </c>
      <c r="Z9" s="64" t="s">
        <v>27</v>
      </c>
      <c r="AA9" s="65" t="s">
        <v>53</v>
      </c>
      <c r="AB9" s="66"/>
      <c r="AC9" s="67"/>
      <c r="AD9" s="68"/>
      <c r="AE9" s="69"/>
      <c r="AF9" s="68"/>
      <c r="AG9" s="70"/>
      <c r="AH9" s="71" t="s">
        <v>15</v>
      </c>
      <c r="AI9" s="72"/>
      <c r="AL9" s="72"/>
      <c r="AM9" s="74"/>
      <c r="AO9" s="72"/>
      <c r="AP9" s="74"/>
      <c r="AQ9" s="75"/>
      <c r="AR9" s="72"/>
      <c r="AS9" s="75"/>
      <c r="AT9" s="72"/>
      <c r="AU9" s="75"/>
      <c r="AV9" s="75"/>
      <c r="AW9" s="75"/>
    </row>
    <row r="10" spans="1:51" s="83" customFormat="1" ht="15" hidden="1" customHeight="1" x14ac:dyDescent="0.25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8"/>
      <c r="Q10" s="78"/>
      <c r="R10" s="78"/>
      <c r="S10" s="77"/>
      <c r="T10" s="77"/>
      <c r="U10" s="77"/>
      <c r="V10" s="79"/>
      <c r="W10" s="79"/>
      <c r="X10" s="79"/>
      <c r="Y10" s="66"/>
      <c r="Z10" s="66"/>
      <c r="AA10" s="67"/>
      <c r="AB10" s="39"/>
      <c r="AC10" s="29"/>
      <c r="AD10" s="80"/>
      <c r="AE10" s="22"/>
      <c r="AF10" s="80"/>
      <c r="AG10" s="81"/>
      <c r="AH10" s="82"/>
    </row>
    <row r="11" spans="1:51" x14ac:dyDescent="0.25">
      <c r="B11" s="17"/>
      <c r="C11" s="456"/>
      <c r="D11" s="456"/>
      <c r="E11" s="456"/>
      <c r="F11" s="456"/>
      <c r="G11" s="456"/>
      <c r="H11" s="456"/>
      <c r="I11" s="456"/>
      <c r="J11" s="456"/>
      <c r="K11" s="456"/>
      <c r="L11" s="456"/>
      <c r="M11" s="456"/>
      <c r="N11" s="84"/>
      <c r="O11" s="19"/>
      <c r="P11" s="85"/>
      <c r="Q11" s="85"/>
      <c r="R11" s="85"/>
      <c r="S11" s="17"/>
      <c r="T11" s="39"/>
      <c r="U11" s="20"/>
      <c r="V11" s="86"/>
      <c r="W11" s="87"/>
      <c r="X11" s="88"/>
      <c r="Y11" s="284"/>
      <c r="Z11" s="39"/>
      <c r="AA11" s="29"/>
      <c r="AB11" s="39"/>
      <c r="AC11" s="29"/>
      <c r="AD11" s="89"/>
      <c r="AE11" s="90"/>
      <c r="AF11" s="89"/>
      <c r="AG11" s="91"/>
      <c r="AH11" s="92"/>
      <c r="AI11" s="93"/>
      <c r="AJ11" s="94"/>
      <c r="AK11" s="94"/>
      <c r="AL11" s="93"/>
      <c r="AM11" s="94"/>
      <c r="AN11" s="94"/>
      <c r="AO11" s="93"/>
      <c r="AP11" s="94"/>
      <c r="AQ11" s="95"/>
      <c r="AR11" s="93"/>
      <c r="AS11" s="95"/>
      <c r="AT11" s="93"/>
      <c r="AU11" s="95"/>
      <c r="AV11" s="93"/>
      <c r="AW11" s="96"/>
      <c r="AX11" s="95"/>
      <c r="AY11" s="95"/>
    </row>
    <row r="12" spans="1:51" x14ac:dyDescent="0.25">
      <c r="B12" s="97"/>
      <c r="C12" s="460"/>
      <c r="D12" s="460"/>
      <c r="E12" s="460"/>
      <c r="F12" s="460"/>
      <c r="G12" s="460"/>
      <c r="H12" s="460"/>
      <c r="I12" s="460"/>
      <c r="J12" s="460"/>
      <c r="K12" s="460"/>
      <c r="L12" s="460"/>
      <c r="M12" s="460"/>
      <c r="N12" s="98"/>
      <c r="O12" s="99"/>
      <c r="P12" s="100"/>
      <c r="Q12" s="100"/>
      <c r="R12" s="101">
        <f>S2</f>
        <v>26260</v>
      </c>
      <c r="S12" s="97">
        <v>0</v>
      </c>
      <c r="T12" s="102">
        <f t="shared" ref="T12:T72" si="0">IF((U12&gt;0),(U12-S12+P12),(T11-S12+P12))</f>
        <v>0</v>
      </c>
      <c r="U12" s="103">
        <f>(V12+X12+W12)</f>
        <v>0</v>
      </c>
      <c r="V12" s="104"/>
      <c r="W12" s="105"/>
      <c r="X12" s="106"/>
      <c r="Y12" s="113"/>
      <c r="Z12" s="102"/>
      <c r="AA12" s="107"/>
      <c r="AB12" s="102"/>
      <c r="AC12" s="107"/>
      <c r="AD12" s="108"/>
      <c r="AE12" s="109"/>
      <c r="AF12" s="108"/>
      <c r="AG12" s="91"/>
      <c r="AH12" s="92"/>
      <c r="AI12" s="93"/>
      <c r="AJ12" s="94"/>
      <c r="AK12" s="94"/>
      <c r="AL12" s="93"/>
      <c r="AM12" s="94"/>
      <c r="AN12" s="94"/>
      <c r="AO12" s="93"/>
      <c r="AP12" s="94"/>
      <c r="AQ12" s="95"/>
      <c r="AR12" s="93"/>
      <c r="AS12" s="95"/>
      <c r="AT12" s="93"/>
      <c r="AU12" s="95"/>
      <c r="AV12" s="93"/>
      <c r="AW12" s="96"/>
      <c r="AX12" s="95"/>
      <c r="AY12" s="95"/>
    </row>
    <row r="13" spans="1:51" x14ac:dyDescent="0.25">
      <c r="A13" s="25">
        <v>1</v>
      </c>
      <c r="B13" s="401">
        <f>N3</f>
        <v>46101</v>
      </c>
      <c r="C13" s="461"/>
      <c r="D13" s="461"/>
      <c r="E13" s="461"/>
      <c r="F13" s="461"/>
      <c r="G13" s="461"/>
      <c r="H13" s="461"/>
      <c r="I13" s="461"/>
      <c r="J13" s="461"/>
      <c r="K13" s="461"/>
      <c r="L13" s="461"/>
      <c r="M13" s="461"/>
      <c r="N13" s="402"/>
      <c r="O13" s="110">
        <f>P13</f>
        <v>24000</v>
      </c>
      <c r="P13" s="268">
        <v>24000</v>
      </c>
      <c r="Q13" s="268" t="s">
        <v>95</v>
      </c>
      <c r="R13" s="111">
        <f t="shared" ref="R13:R21" si="1">R12-P13</f>
        <v>2260</v>
      </c>
      <c r="S13" s="102">
        <f>('Consumption Guide'!G8*Z13)/1000</f>
        <v>1777.6</v>
      </c>
      <c r="T13" s="225">
        <f t="shared" si="0"/>
        <v>22222.400000000001</v>
      </c>
      <c r="U13" s="103">
        <f>(V13+X13+W13)</f>
        <v>0</v>
      </c>
      <c r="V13" s="104"/>
      <c r="W13" s="105"/>
      <c r="X13" s="106"/>
      <c r="Y13" s="285"/>
      <c r="Z13" s="102">
        <f>SUM(N2-Y13)</f>
        <v>80800</v>
      </c>
      <c r="AA13" s="107"/>
      <c r="AB13" s="102"/>
      <c r="AC13" s="107"/>
      <c r="AD13" s="108"/>
      <c r="AE13" s="109"/>
      <c r="AF13" s="108"/>
      <c r="AG13" s="91"/>
      <c r="AH13" s="92"/>
      <c r="AI13" s="93"/>
      <c r="AJ13" s="94"/>
      <c r="AK13" s="94"/>
      <c r="AL13" s="93"/>
      <c r="AM13" s="94"/>
      <c r="AN13" s="94"/>
      <c r="AO13" s="93"/>
      <c r="AP13" s="94"/>
      <c r="AQ13" s="95"/>
      <c r="AR13" s="93"/>
      <c r="AS13" s="95"/>
      <c r="AT13" s="93"/>
      <c r="AU13" s="95"/>
      <c r="AV13" s="93"/>
      <c r="AW13" s="96"/>
      <c r="AX13" s="95"/>
      <c r="AY13" s="95"/>
    </row>
    <row r="14" spans="1:51" x14ac:dyDescent="0.25">
      <c r="A14" s="25">
        <f>A13+1</f>
        <v>2</v>
      </c>
      <c r="B14" s="401">
        <f>B13+1</f>
        <v>46102</v>
      </c>
      <c r="C14" s="461"/>
      <c r="D14" s="461"/>
      <c r="E14" s="461"/>
      <c r="F14" s="461"/>
      <c r="G14" s="461"/>
      <c r="H14" s="461"/>
      <c r="I14" s="461"/>
      <c r="J14" s="461"/>
      <c r="K14" s="461"/>
      <c r="L14" s="461"/>
      <c r="M14" s="461"/>
      <c r="N14" s="402"/>
      <c r="O14" s="110">
        <f t="shared" ref="O14:O72" si="2">O13+P14</f>
        <v>24000</v>
      </c>
      <c r="P14" s="114"/>
      <c r="Q14" s="100"/>
      <c r="R14" s="111">
        <f t="shared" si="1"/>
        <v>2260</v>
      </c>
      <c r="S14" s="102">
        <f>('Consumption Guide'!G9*Z14)/1000</f>
        <v>1939.2</v>
      </c>
      <c r="T14" s="225">
        <f t="shared" si="0"/>
        <v>20283.2</v>
      </c>
      <c r="U14" s="103">
        <f>(V14+X14+W14)</f>
        <v>0</v>
      </c>
      <c r="V14" s="104"/>
      <c r="W14" s="105"/>
      <c r="X14" s="106"/>
      <c r="Y14" s="285"/>
      <c r="Z14" s="102">
        <f t="shared" ref="Z14:Z45" si="3">SUM(Z13-Y14)</f>
        <v>80800</v>
      </c>
      <c r="AA14" s="107"/>
      <c r="AB14" s="102"/>
      <c r="AC14" s="107">
        <f>AB14+AC13</f>
        <v>0</v>
      </c>
      <c r="AD14" s="108"/>
      <c r="AE14" s="109"/>
      <c r="AF14" s="108"/>
      <c r="AG14" s="91"/>
      <c r="AH14" s="92"/>
      <c r="AI14" s="93"/>
      <c r="AJ14" s="94"/>
      <c r="AK14" s="94"/>
      <c r="AL14" s="93"/>
      <c r="AM14" s="94"/>
      <c r="AN14" s="94"/>
      <c r="AO14" s="93"/>
      <c r="AP14" s="94"/>
      <c r="AQ14" s="95"/>
      <c r="AR14" s="93"/>
      <c r="AS14" s="95"/>
      <c r="AT14" s="93"/>
      <c r="AU14" s="95"/>
      <c r="AV14" s="93"/>
      <c r="AW14" s="96"/>
      <c r="AX14" s="95"/>
      <c r="AY14" s="95"/>
    </row>
    <row r="15" spans="1:51" x14ac:dyDescent="0.25">
      <c r="A15" s="25">
        <f t="shared" ref="A15:B30" si="4">A14+1</f>
        <v>3</v>
      </c>
      <c r="B15" s="401">
        <f t="shared" si="4"/>
        <v>46103</v>
      </c>
      <c r="C15" s="461"/>
      <c r="D15" s="461"/>
      <c r="E15" s="461"/>
      <c r="F15" s="461"/>
      <c r="G15" s="461"/>
      <c r="H15" s="461"/>
      <c r="I15" s="461"/>
      <c r="J15" s="461"/>
      <c r="K15" s="461"/>
      <c r="L15" s="461"/>
      <c r="M15" s="461"/>
      <c r="N15" s="402"/>
      <c r="O15" s="110">
        <f t="shared" si="2"/>
        <v>24000</v>
      </c>
      <c r="P15" s="114"/>
      <c r="Q15" s="100"/>
      <c r="R15" s="111">
        <f t="shared" si="1"/>
        <v>2260</v>
      </c>
      <c r="S15" s="102">
        <f>('Consumption Guide'!G10*Z15)/1000</f>
        <v>2100.8000000000002</v>
      </c>
      <c r="T15" s="225">
        <f t="shared" si="0"/>
        <v>18182.400000000001</v>
      </c>
      <c r="U15" s="103">
        <f t="shared" ref="U15:U72" si="5">(V15+X15+W15)</f>
        <v>0</v>
      </c>
      <c r="V15" s="104"/>
      <c r="W15" s="105"/>
      <c r="X15" s="106"/>
      <c r="Y15" s="285"/>
      <c r="Z15" s="113">
        <f t="shared" si="3"/>
        <v>80800</v>
      </c>
      <c r="AA15" s="107"/>
      <c r="AB15" s="102"/>
      <c r="AC15" s="107">
        <f t="shared" ref="AC15:AC72" si="6">AB15+AC14</f>
        <v>0</v>
      </c>
      <c r="AD15" s="108"/>
      <c r="AE15" s="109"/>
      <c r="AF15" s="108"/>
      <c r="AG15" s="91"/>
      <c r="AH15" s="92"/>
      <c r="AI15" s="93"/>
      <c r="AJ15" s="94"/>
      <c r="AK15" s="94"/>
      <c r="AL15" s="93"/>
      <c r="AM15" s="94"/>
      <c r="AN15" s="94"/>
      <c r="AO15" s="93"/>
      <c r="AP15" s="94"/>
      <c r="AQ15" s="95"/>
      <c r="AR15" s="93"/>
      <c r="AS15" s="95"/>
      <c r="AT15" s="93"/>
      <c r="AU15" s="95"/>
      <c r="AV15" s="93"/>
      <c r="AW15" s="96"/>
      <c r="AX15" s="95"/>
      <c r="AY15" s="95"/>
    </row>
    <row r="16" spans="1:51" x14ac:dyDescent="0.25">
      <c r="A16" s="25">
        <f t="shared" si="4"/>
        <v>4</v>
      </c>
      <c r="B16" s="401">
        <f t="shared" si="4"/>
        <v>46104</v>
      </c>
      <c r="C16" s="461"/>
      <c r="D16" s="461"/>
      <c r="E16" s="461"/>
      <c r="F16" s="461"/>
      <c r="G16" s="461"/>
      <c r="H16" s="461"/>
      <c r="I16" s="461"/>
      <c r="J16" s="461"/>
      <c r="K16" s="461"/>
      <c r="L16" s="461"/>
      <c r="M16" s="461"/>
      <c r="N16" s="402"/>
      <c r="O16" s="110">
        <f t="shared" si="2"/>
        <v>24000</v>
      </c>
      <c r="P16" s="114"/>
      <c r="Q16" s="114"/>
      <c r="R16" s="111">
        <f t="shared" si="1"/>
        <v>2260</v>
      </c>
      <c r="S16" s="102">
        <f>('Consumption Guide'!G11*Z16)/1000</f>
        <v>2262.4</v>
      </c>
      <c r="T16" s="225">
        <f t="shared" si="0"/>
        <v>15920.000000000002</v>
      </c>
      <c r="U16" s="103">
        <f t="shared" si="5"/>
        <v>0</v>
      </c>
      <c r="V16" s="104"/>
      <c r="W16" s="105"/>
      <c r="X16" s="106"/>
      <c r="Y16" s="285"/>
      <c r="Z16" s="113">
        <f t="shared" si="3"/>
        <v>80800</v>
      </c>
      <c r="AA16" s="107"/>
      <c r="AB16" s="102"/>
      <c r="AC16" s="107">
        <f t="shared" si="6"/>
        <v>0</v>
      </c>
      <c r="AD16" s="108"/>
      <c r="AE16" s="109"/>
      <c r="AF16" s="108"/>
      <c r="AG16" s="91"/>
      <c r="AH16" s="92"/>
    </row>
    <row r="17" spans="1:51" x14ac:dyDescent="0.25">
      <c r="A17" s="25">
        <f t="shared" si="4"/>
        <v>5</v>
      </c>
      <c r="B17" s="401">
        <f t="shared" si="4"/>
        <v>46105</v>
      </c>
      <c r="C17" s="461"/>
      <c r="D17" s="461"/>
      <c r="E17" s="461"/>
      <c r="F17" s="461"/>
      <c r="G17" s="461"/>
      <c r="H17" s="461"/>
      <c r="I17" s="461"/>
      <c r="J17" s="461"/>
      <c r="K17" s="461"/>
      <c r="L17" s="461"/>
      <c r="M17" s="461"/>
      <c r="N17" s="402"/>
      <c r="O17" s="110">
        <f t="shared" si="2"/>
        <v>24000</v>
      </c>
      <c r="P17" s="114"/>
      <c r="Q17" s="114"/>
      <c r="R17" s="111">
        <f t="shared" si="1"/>
        <v>2260</v>
      </c>
      <c r="S17" s="102">
        <f>('Consumption Guide'!G12*Z17)/1000</f>
        <v>2424</v>
      </c>
      <c r="T17" s="225">
        <f t="shared" si="0"/>
        <v>13496.000000000002</v>
      </c>
      <c r="U17" s="103">
        <f t="shared" si="5"/>
        <v>0</v>
      </c>
      <c r="V17" s="104"/>
      <c r="W17" s="105"/>
      <c r="X17" s="119"/>
      <c r="Y17" s="285"/>
      <c r="Z17" s="113">
        <f t="shared" si="3"/>
        <v>80800</v>
      </c>
      <c r="AA17" s="107"/>
      <c r="AB17" s="102"/>
      <c r="AC17" s="107">
        <f>AB17+AC16</f>
        <v>0</v>
      </c>
      <c r="AD17" s="108"/>
      <c r="AE17" s="109"/>
      <c r="AF17" s="108"/>
      <c r="AG17" s="91"/>
      <c r="AH17" s="92"/>
    </row>
    <row r="18" spans="1:51" x14ac:dyDescent="0.25">
      <c r="A18" s="25">
        <f t="shared" si="4"/>
        <v>6</v>
      </c>
      <c r="B18" s="401">
        <f t="shared" si="4"/>
        <v>46106</v>
      </c>
      <c r="C18" s="461"/>
      <c r="D18" s="461"/>
      <c r="E18" s="461"/>
      <c r="F18" s="461"/>
      <c r="G18" s="461"/>
      <c r="H18" s="461"/>
      <c r="I18" s="461"/>
      <c r="J18" s="461"/>
      <c r="K18" s="461"/>
      <c r="L18" s="461"/>
      <c r="M18" s="461"/>
      <c r="N18" s="402"/>
      <c r="O18" s="110">
        <f t="shared" si="2"/>
        <v>24000</v>
      </c>
      <c r="P18" s="114"/>
      <c r="Q18" s="114"/>
      <c r="R18" s="111">
        <f t="shared" si="1"/>
        <v>2260</v>
      </c>
      <c r="S18" s="102">
        <f>('Consumption Guide'!G13*Z18)/1000</f>
        <v>2585.6</v>
      </c>
      <c r="T18" s="225">
        <f t="shared" si="0"/>
        <v>43414.400000000001</v>
      </c>
      <c r="U18" s="103">
        <f t="shared" si="5"/>
        <v>46000</v>
      </c>
      <c r="V18" s="104">
        <v>18000</v>
      </c>
      <c r="W18" s="97">
        <v>22000</v>
      </c>
      <c r="X18" s="106">
        <v>6000</v>
      </c>
      <c r="Y18" s="285"/>
      <c r="Z18" s="113">
        <f t="shared" si="3"/>
        <v>80800</v>
      </c>
      <c r="AA18" s="107"/>
      <c r="AB18" s="102"/>
      <c r="AC18" s="107">
        <f t="shared" si="6"/>
        <v>0</v>
      </c>
      <c r="AD18" s="108"/>
      <c r="AE18" s="109"/>
      <c r="AF18" s="108"/>
      <c r="AG18" s="91"/>
      <c r="AH18" s="92"/>
    </row>
    <row r="19" spans="1:51" x14ac:dyDescent="0.25">
      <c r="A19" s="25">
        <f t="shared" si="4"/>
        <v>7</v>
      </c>
      <c r="B19" s="401">
        <f t="shared" si="4"/>
        <v>46107</v>
      </c>
      <c r="C19" s="461"/>
      <c r="D19" s="461"/>
      <c r="E19" s="461"/>
      <c r="F19" s="461"/>
      <c r="G19" s="461"/>
      <c r="H19" s="461"/>
      <c r="I19" s="461"/>
      <c r="J19" s="461"/>
      <c r="K19" s="461"/>
      <c r="L19" s="461"/>
      <c r="M19" s="461"/>
      <c r="N19" s="402"/>
      <c r="O19" s="110">
        <f t="shared" si="2"/>
        <v>40000</v>
      </c>
      <c r="P19" s="114">
        <v>16000</v>
      </c>
      <c r="Q19" s="114"/>
      <c r="R19" s="111">
        <f t="shared" si="1"/>
        <v>-13740</v>
      </c>
      <c r="S19" s="102">
        <f>('Consumption Guide'!G14*Z19)/1000</f>
        <v>2747.2</v>
      </c>
      <c r="T19" s="225">
        <f t="shared" si="0"/>
        <v>59252.800000000003</v>
      </c>
      <c r="U19" s="103">
        <f t="shared" si="5"/>
        <v>46000</v>
      </c>
      <c r="V19" s="104">
        <v>18000</v>
      </c>
      <c r="W19" s="116">
        <v>22000</v>
      </c>
      <c r="X19" s="119">
        <v>6000</v>
      </c>
      <c r="Y19" s="285"/>
      <c r="Z19" s="113">
        <f t="shared" si="3"/>
        <v>80800</v>
      </c>
      <c r="AA19" s="107"/>
      <c r="AB19" s="102"/>
      <c r="AC19" s="107">
        <f t="shared" si="6"/>
        <v>0</v>
      </c>
      <c r="AD19" s="108"/>
      <c r="AE19" s="109"/>
      <c r="AF19" s="108"/>
      <c r="AG19" s="91"/>
      <c r="AH19" s="92"/>
    </row>
    <row r="20" spans="1:51" x14ac:dyDescent="0.25">
      <c r="A20" s="25">
        <v>8</v>
      </c>
      <c r="B20" s="401">
        <f t="shared" si="4"/>
        <v>46108</v>
      </c>
      <c r="C20" s="461"/>
      <c r="D20" s="461"/>
      <c r="E20" s="461"/>
      <c r="F20" s="461"/>
      <c r="G20" s="461"/>
      <c r="H20" s="461"/>
      <c r="I20" s="461"/>
      <c r="J20" s="461"/>
      <c r="K20" s="461"/>
      <c r="L20" s="461"/>
      <c r="M20" s="461"/>
      <c r="N20" s="402"/>
      <c r="O20" s="110">
        <f t="shared" si="2"/>
        <v>40000</v>
      </c>
      <c r="P20" s="114"/>
      <c r="Q20" s="114"/>
      <c r="R20" s="111">
        <f t="shared" si="1"/>
        <v>-13740</v>
      </c>
      <c r="S20" s="102">
        <f>('Consumption Guide'!G15*Z20)/1000</f>
        <v>2908.8</v>
      </c>
      <c r="T20" s="225">
        <f t="shared" si="0"/>
        <v>49091.199999999997</v>
      </c>
      <c r="U20" s="103">
        <f t="shared" si="5"/>
        <v>52000</v>
      </c>
      <c r="V20" s="104">
        <v>16000</v>
      </c>
      <c r="W20" s="116">
        <v>20000</v>
      </c>
      <c r="X20" s="119">
        <v>16000</v>
      </c>
      <c r="Y20" s="285"/>
      <c r="Z20" s="113">
        <f t="shared" si="3"/>
        <v>80800</v>
      </c>
      <c r="AA20" s="107"/>
      <c r="AB20" s="102"/>
      <c r="AC20" s="107">
        <f t="shared" si="6"/>
        <v>0</v>
      </c>
      <c r="AD20" s="108"/>
      <c r="AE20" s="109"/>
      <c r="AF20" s="108"/>
      <c r="AG20" s="91"/>
      <c r="AH20" s="92"/>
    </row>
    <row r="21" spans="1:51" x14ac:dyDescent="0.25">
      <c r="A21" s="25">
        <f t="shared" si="4"/>
        <v>9</v>
      </c>
      <c r="B21" s="401">
        <f t="shared" si="4"/>
        <v>46109</v>
      </c>
      <c r="C21" s="461"/>
      <c r="D21" s="461"/>
      <c r="E21" s="461"/>
      <c r="F21" s="461"/>
      <c r="G21" s="461"/>
      <c r="H21" s="461"/>
      <c r="I21" s="461"/>
      <c r="J21" s="461"/>
      <c r="K21" s="461"/>
      <c r="L21" s="461"/>
      <c r="M21" s="461"/>
      <c r="N21" s="402"/>
      <c r="O21" s="110">
        <f t="shared" si="2"/>
        <v>40000</v>
      </c>
      <c r="P21" s="114"/>
      <c r="Q21" s="114"/>
      <c r="R21" s="111">
        <f t="shared" si="1"/>
        <v>-13740</v>
      </c>
      <c r="S21" s="102">
        <f>('Consumption Guide'!G16*Z21)/1000</f>
        <v>3232</v>
      </c>
      <c r="T21" s="225">
        <f t="shared" si="0"/>
        <v>45859.199999999997</v>
      </c>
      <c r="U21" s="103">
        <f t="shared" si="5"/>
        <v>0</v>
      </c>
      <c r="V21" s="104"/>
      <c r="W21" s="116"/>
      <c r="X21" s="119"/>
      <c r="Y21" s="285"/>
      <c r="Z21" s="113">
        <f t="shared" si="3"/>
        <v>80800</v>
      </c>
      <c r="AA21" s="107"/>
      <c r="AB21" s="102"/>
      <c r="AC21" s="107">
        <f t="shared" si="6"/>
        <v>0</v>
      </c>
      <c r="AD21" s="108"/>
      <c r="AE21" s="109"/>
      <c r="AF21" s="108"/>
      <c r="AG21" s="91"/>
      <c r="AH21" s="92"/>
    </row>
    <row r="22" spans="1:51" x14ac:dyDescent="0.25">
      <c r="A22" s="25">
        <f t="shared" si="4"/>
        <v>10</v>
      </c>
      <c r="B22" s="401">
        <f t="shared" si="4"/>
        <v>46110</v>
      </c>
      <c r="C22" s="461"/>
      <c r="D22" s="461"/>
      <c r="E22" s="461"/>
      <c r="F22" s="461"/>
      <c r="G22" s="461"/>
      <c r="H22" s="461"/>
      <c r="I22" s="461"/>
      <c r="J22" s="461"/>
      <c r="K22" s="461"/>
      <c r="L22" s="461"/>
      <c r="M22" s="461"/>
      <c r="N22" s="402"/>
      <c r="O22" s="110">
        <f t="shared" si="2"/>
        <v>56000</v>
      </c>
      <c r="P22" s="114">
        <v>16000</v>
      </c>
      <c r="Q22" s="114"/>
      <c r="R22" s="115">
        <v>96480</v>
      </c>
      <c r="S22" s="102">
        <f>('Consumption Guide'!G17*Z22)/1000</f>
        <v>3636</v>
      </c>
      <c r="T22" s="225">
        <f t="shared" si="0"/>
        <v>58223.199999999997</v>
      </c>
      <c r="U22" s="103">
        <f t="shared" si="5"/>
        <v>0</v>
      </c>
      <c r="V22" s="104"/>
      <c r="W22" s="116"/>
      <c r="X22" s="118"/>
      <c r="Y22" s="285"/>
      <c r="Z22" s="113">
        <f t="shared" si="3"/>
        <v>80800</v>
      </c>
      <c r="AA22" s="107"/>
      <c r="AB22" s="102"/>
      <c r="AC22" s="107">
        <f t="shared" si="6"/>
        <v>0</v>
      </c>
      <c r="AD22" s="108"/>
      <c r="AE22" s="109"/>
      <c r="AF22" s="108"/>
      <c r="AG22" s="91"/>
      <c r="AH22" s="92"/>
      <c r="AI22" s="93"/>
      <c r="AJ22" s="94"/>
      <c r="AK22" s="94"/>
      <c r="AL22" s="93"/>
      <c r="AM22" s="94"/>
      <c r="AN22" s="94"/>
      <c r="AO22" s="93"/>
      <c r="AP22" s="94"/>
      <c r="AQ22" s="95"/>
      <c r="AR22" s="93"/>
      <c r="AS22" s="95"/>
      <c r="AT22" s="93"/>
      <c r="AU22" s="95"/>
      <c r="AV22" s="93"/>
      <c r="AW22" s="96"/>
      <c r="AX22" s="95"/>
      <c r="AY22" s="95"/>
    </row>
    <row r="23" spans="1:51" x14ac:dyDescent="0.25">
      <c r="A23" s="25">
        <f t="shared" si="4"/>
        <v>11</v>
      </c>
      <c r="B23" s="401">
        <f t="shared" si="4"/>
        <v>46111</v>
      </c>
      <c r="C23" s="461"/>
      <c r="D23" s="461"/>
      <c r="E23" s="461"/>
      <c r="F23" s="461"/>
      <c r="G23" s="461"/>
      <c r="H23" s="461"/>
      <c r="I23" s="461"/>
      <c r="J23" s="461"/>
      <c r="K23" s="461"/>
      <c r="L23" s="461"/>
      <c r="M23" s="461"/>
      <c r="N23" s="402"/>
      <c r="O23" s="110">
        <f t="shared" si="2"/>
        <v>56000</v>
      </c>
      <c r="P23" s="114"/>
      <c r="Q23" s="114"/>
      <c r="R23" s="115">
        <f>S3-P23</f>
        <v>92920</v>
      </c>
      <c r="S23" s="102">
        <f>('Consumption Guide'!G18*Z23)/1000</f>
        <v>4040</v>
      </c>
      <c r="T23" s="225">
        <f t="shared" si="0"/>
        <v>43960</v>
      </c>
      <c r="U23" s="103">
        <f t="shared" si="5"/>
        <v>48000</v>
      </c>
      <c r="V23" s="104">
        <v>12000</v>
      </c>
      <c r="W23" s="116">
        <v>20000</v>
      </c>
      <c r="X23" s="118">
        <v>16000</v>
      </c>
      <c r="Y23" s="285"/>
      <c r="Z23" s="113">
        <f t="shared" si="3"/>
        <v>80800</v>
      </c>
      <c r="AA23" s="107"/>
      <c r="AB23" s="102"/>
      <c r="AC23" s="107">
        <f t="shared" si="6"/>
        <v>0</v>
      </c>
      <c r="AD23" s="108"/>
      <c r="AE23" s="109"/>
      <c r="AF23" s="108"/>
      <c r="AG23" s="91"/>
      <c r="AH23" s="92"/>
    </row>
    <row r="24" spans="1:51" ht="22.5" customHeight="1" x14ac:dyDescent="0.25">
      <c r="A24" s="25">
        <f t="shared" si="4"/>
        <v>12</v>
      </c>
      <c r="B24" s="401">
        <f t="shared" si="4"/>
        <v>46112</v>
      </c>
      <c r="C24" s="461"/>
      <c r="D24" s="461"/>
      <c r="E24" s="461"/>
      <c r="F24" s="461"/>
      <c r="G24" s="461"/>
      <c r="H24" s="461"/>
      <c r="I24" s="461"/>
      <c r="J24" s="461"/>
      <c r="K24" s="461"/>
      <c r="L24" s="461"/>
      <c r="M24" s="461"/>
      <c r="N24" s="402"/>
      <c r="O24" s="110">
        <f t="shared" si="2"/>
        <v>56000</v>
      </c>
      <c r="P24" s="114"/>
      <c r="Q24" s="114"/>
      <c r="R24" s="115">
        <f t="shared" ref="R24:R36" si="7">R23-P24</f>
        <v>92920</v>
      </c>
      <c r="S24" s="102">
        <f>('Consumption Guide'!G19*Z24)/1000</f>
        <v>4444</v>
      </c>
      <c r="T24" s="225">
        <f t="shared" si="0"/>
        <v>39516</v>
      </c>
      <c r="U24" s="103">
        <f t="shared" si="5"/>
        <v>0</v>
      </c>
      <c r="V24" s="104"/>
      <c r="W24" s="116"/>
      <c r="X24" s="118"/>
      <c r="Y24" s="285"/>
      <c r="Z24" s="113">
        <f t="shared" si="3"/>
        <v>80800</v>
      </c>
      <c r="AA24" s="107"/>
      <c r="AB24" s="102"/>
      <c r="AC24" s="107">
        <f t="shared" si="6"/>
        <v>0</v>
      </c>
      <c r="AD24" s="108"/>
      <c r="AE24" s="109"/>
      <c r="AF24" s="108"/>
      <c r="AG24" s="91"/>
      <c r="AH24" s="92"/>
    </row>
    <row r="25" spans="1:51" x14ac:dyDescent="0.25">
      <c r="A25" s="25">
        <f t="shared" si="4"/>
        <v>13</v>
      </c>
      <c r="B25" s="401">
        <f t="shared" si="4"/>
        <v>46113</v>
      </c>
      <c r="C25" s="461"/>
      <c r="D25" s="461"/>
      <c r="E25" s="461"/>
      <c r="F25" s="461"/>
      <c r="G25" s="461"/>
      <c r="H25" s="461"/>
      <c r="I25" s="461"/>
      <c r="J25" s="461"/>
      <c r="K25" s="461"/>
      <c r="L25" s="461"/>
      <c r="M25" s="461"/>
      <c r="N25" s="402"/>
      <c r="O25" s="110">
        <f t="shared" si="2"/>
        <v>56000</v>
      </c>
      <c r="P25" s="114"/>
      <c r="Q25" s="114"/>
      <c r="R25" s="115">
        <f t="shared" si="7"/>
        <v>92920</v>
      </c>
      <c r="S25" s="102">
        <f>('Consumption Guide'!G20*Z25)/1000</f>
        <v>4848</v>
      </c>
      <c r="T25" s="225">
        <f t="shared" si="0"/>
        <v>34668</v>
      </c>
      <c r="U25" s="103">
        <f t="shared" si="5"/>
        <v>0</v>
      </c>
      <c r="V25" s="224"/>
      <c r="W25" s="116"/>
      <c r="X25" s="117"/>
      <c r="Y25" s="285"/>
      <c r="Z25" s="113">
        <f t="shared" si="3"/>
        <v>80800</v>
      </c>
      <c r="AA25" s="107"/>
      <c r="AB25" s="102"/>
      <c r="AC25" s="107">
        <f t="shared" si="6"/>
        <v>0</v>
      </c>
      <c r="AD25" s="108"/>
      <c r="AE25" s="109"/>
      <c r="AF25" s="108"/>
      <c r="AG25" s="91"/>
      <c r="AH25" s="92"/>
    </row>
    <row r="26" spans="1:51" ht="21" customHeight="1" x14ac:dyDescent="0.25">
      <c r="A26" s="25">
        <f t="shared" si="4"/>
        <v>14</v>
      </c>
      <c r="B26" s="401">
        <f t="shared" si="4"/>
        <v>46114</v>
      </c>
      <c r="C26" s="461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02"/>
      <c r="O26" s="110">
        <f t="shared" si="2"/>
        <v>72000</v>
      </c>
      <c r="P26" s="114">
        <v>16000</v>
      </c>
      <c r="Q26" s="114"/>
      <c r="R26" s="115">
        <f t="shared" si="7"/>
        <v>76920</v>
      </c>
      <c r="S26" s="102">
        <f>('Consumption Guide'!G21*Z26)/1000</f>
        <v>5252</v>
      </c>
      <c r="T26" s="225">
        <f t="shared" si="0"/>
        <v>45416</v>
      </c>
      <c r="U26" s="103">
        <f t="shared" si="5"/>
        <v>0</v>
      </c>
      <c r="V26" s="224"/>
      <c r="W26" s="97"/>
      <c r="X26" s="121"/>
      <c r="Y26" s="113"/>
      <c r="Z26" s="113">
        <f t="shared" si="3"/>
        <v>80800</v>
      </c>
      <c r="AA26" s="107"/>
      <c r="AB26" s="102"/>
      <c r="AC26" s="107">
        <f t="shared" si="6"/>
        <v>0</v>
      </c>
      <c r="AD26" s="108"/>
      <c r="AE26" s="109"/>
      <c r="AF26" s="108"/>
      <c r="AG26" s="91"/>
      <c r="AH26" s="92"/>
    </row>
    <row r="27" spans="1:51" x14ac:dyDescent="0.25">
      <c r="A27" s="25">
        <f t="shared" si="4"/>
        <v>15</v>
      </c>
      <c r="B27" s="401">
        <f t="shared" si="4"/>
        <v>46115</v>
      </c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02"/>
      <c r="O27" s="110">
        <f t="shared" si="2"/>
        <v>72000</v>
      </c>
      <c r="P27" s="114"/>
      <c r="Q27" s="114"/>
      <c r="R27" s="115">
        <f t="shared" si="7"/>
        <v>76920</v>
      </c>
      <c r="S27" s="102">
        <f>('Consumption Guide'!G22*Z27)/1000</f>
        <v>5979.2</v>
      </c>
      <c r="T27" s="225">
        <f t="shared" si="0"/>
        <v>39436.800000000003</v>
      </c>
      <c r="U27" s="103">
        <f t="shared" si="5"/>
        <v>0</v>
      </c>
      <c r="V27" s="120"/>
      <c r="W27" s="97"/>
      <c r="X27" s="121"/>
      <c r="Y27" s="285"/>
      <c r="Z27" s="113">
        <f t="shared" si="3"/>
        <v>80800</v>
      </c>
      <c r="AA27" s="107"/>
      <c r="AB27" s="102"/>
      <c r="AC27" s="107">
        <f t="shared" si="6"/>
        <v>0</v>
      </c>
      <c r="AD27" s="108"/>
      <c r="AE27" s="109"/>
      <c r="AF27" s="108"/>
      <c r="AG27" s="91"/>
      <c r="AH27" s="92"/>
    </row>
    <row r="28" spans="1:51" x14ac:dyDescent="0.25">
      <c r="A28" s="25">
        <f t="shared" si="4"/>
        <v>16</v>
      </c>
      <c r="B28" s="401">
        <f t="shared" si="4"/>
        <v>46116</v>
      </c>
      <c r="C28" s="461"/>
      <c r="D28" s="461"/>
      <c r="E28" s="461"/>
      <c r="F28" s="461"/>
      <c r="G28" s="461"/>
      <c r="H28" s="461"/>
      <c r="I28" s="461"/>
      <c r="J28" s="461"/>
      <c r="K28" s="461"/>
      <c r="L28" s="461"/>
      <c r="M28" s="461"/>
      <c r="N28" s="402"/>
      <c r="O28" s="110">
        <f t="shared" si="2"/>
        <v>72000</v>
      </c>
      <c r="P28" s="114"/>
      <c r="Q28" s="114"/>
      <c r="R28" s="115">
        <f t="shared" si="7"/>
        <v>76920</v>
      </c>
      <c r="S28" s="102">
        <f>('Consumption Guide'!G23*Z28)/1000</f>
        <v>6060</v>
      </c>
      <c r="T28" s="225">
        <f t="shared" si="0"/>
        <v>33376.800000000003</v>
      </c>
      <c r="U28" s="103">
        <f t="shared" si="5"/>
        <v>0</v>
      </c>
      <c r="V28" s="120"/>
      <c r="W28" s="97"/>
      <c r="X28" s="121"/>
      <c r="Y28" s="285"/>
      <c r="Z28" s="113">
        <f t="shared" si="3"/>
        <v>80800</v>
      </c>
      <c r="AA28" s="107"/>
      <c r="AB28" s="102"/>
      <c r="AC28" s="107">
        <f t="shared" si="6"/>
        <v>0</v>
      </c>
      <c r="AD28" s="108"/>
      <c r="AE28" s="109"/>
      <c r="AF28" s="108"/>
      <c r="AG28" s="91"/>
      <c r="AH28" s="92"/>
    </row>
    <row r="29" spans="1:51" x14ac:dyDescent="0.25">
      <c r="A29" s="25">
        <f t="shared" si="4"/>
        <v>17</v>
      </c>
      <c r="B29" s="401">
        <f t="shared" si="4"/>
        <v>46117</v>
      </c>
      <c r="C29" s="461"/>
      <c r="D29" s="461"/>
      <c r="E29" s="461"/>
      <c r="F29" s="461"/>
      <c r="G29" s="461"/>
      <c r="H29" s="461"/>
      <c r="I29" s="461"/>
      <c r="J29" s="461"/>
      <c r="K29" s="461"/>
      <c r="L29" s="461"/>
      <c r="M29" s="461"/>
      <c r="N29" s="402"/>
      <c r="O29" s="110">
        <f t="shared" si="2"/>
        <v>94000</v>
      </c>
      <c r="P29" s="114">
        <v>22000</v>
      </c>
      <c r="Q29" s="114"/>
      <c r="R29" s="115">
        <f t="shared" si="7"/>
        <v>54920</v>
      </c>
      <c r="S29" s="102">
        <f>('Consumption Guide'!G24*Z29)/1000</f>
        <v>6464</v>
      </c>
      <c r="T29" s="225">
        <f t="shared" si="0"/>
        <v>48912.800000000003</v>
      </c>
      <c r="U29" s="103">
        <f t="shared" si="5"/>
        <v>0</v>
      </c>
      <c r="V29" s="138"/>
      <c r="W29" s="116"/>
      <c r="X29" s="121"/>
      <c r="Y29" s="285"/>
      <c r="Z29" s="113">
        <f t="shared" si="3"/>
        <v>80800</v>
      </c>
      <c r="AA29" s="107"/>
      <c r="AB29" s="102"/>
      <c r="AC29" s="107">
        <f t="shared" si="6"/>
        <v>0</v>
      </c>
      <c r="AD29" s="108"/>
      <c r="AE29" s="109"/>
      <c r="AF29" s="108"/>
      <c r="AG29" s="91"/>
      <c r="AH29" s="92"/>
    </row>
    <row r="30" spans="1:51" x14ac:dyDescent="0.25">
      <c r="A30" s="25">
        <f t="shared" si="4"/>
        <v>18</v>
      </c>
      <c r="B30" s="401">
        <f t="shared" si="4"/>
        <v>46118</v>
      </c>
      <c r="C30" s="461"/>
      <c r="D30" s="461"/>
      <c r="E30" s="461"/>
      <c r="F30" s="461"/>
      <c r="G30" s="461"/>
      <c r="H30" s="461"/>
      <c r="I30" s="461"/>
      <c r="J30" s="461"/>
      <c r="K30" s="461"/>
      <c r="L30" s="461"/>
      <c r="M30" s="461"/>
      <c r="N30" s="402"/>
      <c r="O30" s="110">
        <f t="shared" si="2"/>
        <v>94000</v>
      </c>
      <c r="P30" s="114"/>
      <c r="Q30" s="114"/>
      <c r="R30" s="115">
        <f t="shared" si="7"/>
        <v>54920</v>
      </c>
      <c r="S30" s="102">
        <f>('Consumption Guide'!G25*Z30)/1000</f>
        <v>7029.6</v>
      </c>
      <c r="T30" s="225">
        <f t="shared" si="0"/>
        <v>41883.200000000004</v>
      </c>
      <c r="U30" s="103">
        <f>(V30+X30+W30)</f>
        <v>0</v>
      </c>
      <c r="V30" s="122"/>
      <c r="W30" s="116"/>
      <c r="X30" s="121"/>
      <c r="Y30" s="285"/>
      <c r="Z30" s="113">
        <f t="shared" si="3"/>
        <v>80800</v>
      </c>
      <c r="AA30" s="107"/>
      <c r="AB30" s="102"/>
      <c r="AC30" s="107">
        <f t="shared" si="6"/>
        <v>0</v>
      </c>
      <c r="AD30" s="108"/>
      <c r="AE30" s="109"/>
      <c r="AF30" s="108"/>
      <c r="AG30" s="91"/>
      <c r="AH30" s="92"/>
    </row>
    <row r="31" spans="1:51" x14ac:dyDescent="0.25">
      <c r="A31" s="25">
        <f t="shared" ref="A31:B46" si="8">A30+1</f>
        <v>19</v>
      </c>
      <c r="B31" s="401">
        <f t="shared" si="8"/>
        <v>46119</v>
      </c>
      <c r="C31" s="461"/>
      <c r="D31" s="461"/>
      <c r="E31" s="461"/>
      <c r="F31" s="461"/>
      <c r="G31" s="461"/>
      <c r="H31" s="461"/>
      <c r="I31" s="461"/>
      <c r="J31" s="461"/>
      <c r="K31" s="461"/>
      <c r="L31" s="461"/>
      <c r="M31" s="461"/>
      <c r="N31" s="402"/>
      <c r="O31" s="110">
        <f t="shared" si="2"/>
        <v>94000</v>
      </c>
      <c r="P31" s="114"/>
      <c r="Q31" s="114"/>
      <c r="R31" s="115">
        <f t="shared" si="7"/>
        <v>54920</v>
      </c>
      <c r="S31" s="102">
        <f>('Consumption Guide'!G26*Z31)/1000</f>
        <v>7514.4</v>
      </c>
      <c r="T31" s="225">
        <f t="shared" si="0"/>
        <v>34368.800000000003</v>
      </c>
      <c r="U31" s="103">
        <f>(V31+X31+W31)</f>
        <v>0</v>
      </c>
      <c r="V31" s="122"/>
      <c r="W31" s="116"/>
      <c r="X31" s="121"/>
      <c r="Y31" s="285"/>
      <c r="Z31" s="113">
        <f t="shared" si="3"/>
        <v>80800</v>
      </c>
      <c r="AA31" s="107"/>
      <c r="AB31" s="102"/>
      <c r="AC31" s="107">
        <f t="shared" si="6"/>
        <v>0</v>
      </c>
      <c r="AD31" s="108"/>
      <c r="AE31" s="109"/>
      <c r="AF31" s="108"/>
      <c r="AG31" s="91"/>
      <c r="AH31" s="92"/>
    </row>
    <row r="32" spans="1:51" x14ac:dyDescent="0.25">
      <c r="A32" s="25">
        <f t="shared" si="8"/>
        <v>20</v>
      </c>
      <c r="B32" s="401">
        <f t="shared" si="8"/>
        <v>46120</v>
      </c>
      <c r="C32" s="461"/>
      <c r="D32" s="461"/>
      <c r="E32" s="461"/>
      <c r="F32" s="461"/>
      <c r="G32" s="461"/>
      <c r="H32" s="461"/>
      <c r="I32" s="461"/>
      <c r="J32" s="461"/>
      <c r="K32" s="461"/>
      <c r="L32" s="461"/>
      <c r="M32" s="461"/>
      <c r="N32" s="402"/>
      <c r="O32" s="110">
        <f t="shared" si="2"/>
        <v>94000</v>
      </c>
      <c r="P32" s="114"/>
      <c r="Q32" s="114"/>
      <c r="R32" s="115">
        <f t="shared" si="7"/>
        <v>54920</v>
      </c>
      <c r="S32" s="102">
        <f>('Consumption Guide'!G27*Z32)/1000</f>
        <v>7837.6</v>
      </c>
      <c r="T32" s="225">
        <f t="shared" si="0"/>
        <v>26531.200000000004</v>
      </c>
      <c r="U32" s="103">
        <f>(V32+X32+W32)</f>
        <v>0</v>
      </c>
      <c r="V32" s="122"/>
      <c r="W32" s="116"/>
      <c r="X32" s="121"/>
      <c r="Y32" s="285"/>
      <c r="Z32" s="113">
        <f t="shared" si="3"/>
        <v>80800</v>
      </c>
      <c r="AA32" s="107"/>
      <c r="AB32" s="102"/>
      <c r="AC32" s="107">
        <f t="shared" si="6"/>
        <v>0</v>
      </c>
      <c r="AD32" s="108"/>
      <c r="AE32" s="109"/>
      <c r="AF32" s="108"/>
      <c r="AG32" s="91"/>
      <c r="AH32" s="92"/>
    </row>
    <row r="33" spans="1:38" x14ac:dyDescent="0.25">
      <c r="A33" s="25">
        <f t="shared" si="8"/>
        <v>21</v>
      </c>
      <c r="B33" s="401">
        <f t="shared" si="8"/>
        <v>46121</v>
      </c>
      <c r="C33" s="461"/>
      <c r="D33" s="461"/>
      <c r="E33" s="461"/>
      <c r="F33" s="461"/>
      <c r="G33" s="461"/>
      <c r="H33" s="461"/>
      <c r="I33" s="461"/>
      <c r="J33" s="461"/>
      <c r="K33" s="461"/>
      <c r="L33" s="461"/>
      <c r="M33" s="461"/>
      <c r="N33" s="402"/>
      <c r="O33" s="110">
        <f t="shared" si="2"/>
        <v>94000</v>
      </c>
      <c r="P33" s="114"/>
      <c r="Q33" s="114"/>
      <c r="R33" s="115">
        <f t="shared" si="7"/>
        <v>54920</v>
      </c>
      <c r="S33" s="102">
        <f>('Consumption Guide'!G28*Z33)/1000</f>
        <v>8322.4</v>
      </c>
      <c r="T33" s="225">
        <f t="shared" si="0"/>
        <v>18208.800000000003</v>
      </c>
      <c r="U33" s="103">
        <f>(V33+X33+W33)</f>
        <v>0</v>
      </c>
      <c r="V33" s="122"/>
      <c r="W33" s="97"/>
      <c r="X33" s="121"/>
      <c r="Y33" s="285"/>
      <c r="Z33" s="113">
        <f t="shared" si="3"/>
        <v>80800</v>
      </c>
      <c r="AA33" s="107"/>
      <c r="AB33" s="102"/>
      <c r="AC33" s="107">
        <f t="shared" si="6"/>
        <v>0</v>
      </c>
      <c r="AD33" s="108"/>
      <c r="AE33" s="109"/>
      <c r="AF33" s="108"/>
      <c r="AG33" s="91"/>
      <c r="AH33" s="92"/>
    </row>
    <row r="34" spans="1:38" x14ac:dyDescent="0.25">
      <c r="A34" s="25">
        <f t="shared" si="8"/>
        <v>22</v>
      </c>
      <c r="B34" s="401">
        <f t="shared" si="8"/>
        <v>46122</v>
      </c>
      <c r="C34" s="461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02"/>
      <c r="O34" s="110">
        <f t="shared" si="2"/>
        <v>94000</v>
      </c>
      <c r="P34" s="114"/>
      <c r="Q34" s="114"/>
      <c r="R34" s="115">
        <f t="shared" si="7"/>
        <v>54920</v>
      </c>
      <c r="S34" s="102">
        <f>('Consumption Guide'!G29*Z34)/1000</f>
        <v>8645.6</v>
      </c>
      <c r="T34" s="225">
        <f t="shared" si="0"/>
        <v>9563.2000000000025</v>
      </c>
      <c r="U34" s="103">
        <f>(V34+X34+W34)</f>
        <v>0</v>
      </c>
      <c r="V34" s="122"/>
      <c r="W34" s="116"/>
      <c r="X34" s="121"/>
      <c r="Y34" s="285"/>
      <c r="Z34" s="113">
        <f t="shared" si="3"/>
        <v>80800</v>
      </c>
      <c r="AA34" s="107"/>
      <c r="AB34" s="102"/>
      <c r="AC34" s="107">
        <f t="shared" si="6"/>
        <v>0</v>
      </c>
      <c r="AD34" s="108"/>
      <c r="AE34" s="109"/>
      <c r="AF34" s="108"/>
      <c r="AG34" s="91"/>
      <c r="AH34" s="92"/>
    </row>
    <row r="35" spans="1:38" x14ac:dyDescent="0.25">
      <c r="A35" s="25">
        <f t="shared" si="8"/>
        <v>23</v>
      </c>
      <c r="B35" s="401">
        <f t="shared" si="8"/>
        <v>46123</v>
      </c>
      <c r="C35" s="461"/>
      <c r="D35" s="461"/>
      <c r="E35" s="461"/>
      <c r="F35" s="461"/>
      <c r="G35" s="461"/>
      <c r="H35" s="461"/>
      <c r="I35" s="461"/>
      <c r="J35" s="461"/>
      <c r="K35" s="461"/>
      <c r="L35" s="461"/>
      <c r="M35" s="461"/>
      <c r="N35" s="402"/>
      <c r="O35" s="110">
        <f t="shared" si="2"/>
        <v>94000</v>
      </c>
      <c r="P35" s="114"/>
      <c r="Q35" s="114"/>
      <c r="R35" s="115">
        <f t="shared" si="7"/>
        <v>54920</v>
      </c>
      <c r="S35" s="102">
        <f>('Consumption Guide'!G30*Z35)/1000</f>
        <v>9130.4</v>
      </c>
      <c r="T35" s="225">
        <f t="shared" si="0"/>
        <v>432.80000000000291</v>
      </c>
      <c r="U35" s="103">
        <f t="shared" si="5"/>
        <v>0</v>
      </c>
      <c r="V35" s="122"/>
      <c r="W35" s="116"/>
      <c r="X35" s="121"/>
      <c r="Y35" s="285"/>
      <c r="Z35" s="113">
        <f t="shared" si="3"/>
        <v>80800</v>
      </c>
      <c r="AA35" s="107"/>
      <c r="AB35" s="102"/>
      <c r="AC35" s="107">
        <f t="shared" si="6"/>
        <v>0</v>
      </c>
      <c r="AD35" s="108"/>
      <c r="AE35" s="109"/>
      <c r="AF35" s="108"/>
      <c r="AG35" s="91"/>
      <c r="AH35" s="92"/>
    </row>
    <row r="36" spans="1:38" x14ac:dyDescent="0.25">
      <c r="A36" s="25">
        <f t="shared" si="8"/>
        <v>24</v>
      </c>
      <c r="B36" s="401">
        <f t="shared" si="8"/>
        <v>46124</v>
      </c>
      <c r="C36" s="461"/>
      <c r="D36" s="461"/>
      <c r="E36" s="461"/>
      <c r="F36" s="461"/>
      <c r="G36" s="461"/>
      <c r="H36" s="461"/>
      <c r="I36" s="461"/>
      <c r="J36" s="461"/>
      <c r="K36" s="461"/>
      <c r="L36" s="461"/>
      <c r="M36" s="461"/>
      <c r="N36" s="402"/>
      <c r="O36" s="110">
        <f t="shared" si="2"/>
        <v>94000</v>
      </c>
      <c r="P36" s="16"/>
      <c r="Q36" s="16"/>
      <c r="R36" s="115">
        <f t="shared" si="7"/>
        <v>54920</v>
      </c>
      <c r="S36" s="102">
        <f>('Consumption Guide'!G31*Z36)/1000</f>
        <v>9534.4</v>
      </c>
      <c r="T36" s="225">
        <f t="shared" si="0"/>
        <v>-9101.5999999999967</v>
      </c>
      <c r="U36" s="103">
        <f t="shared" si="5"/>
        <v>0</v>
      </c>
      <c r="V36" s="122"/>
      <c r="W36" s="97"/>
      <c r="X36" s="171"/>
      <c r="Y36" s="285"/>
      <c r="Z36" s="113">
        <f t="shared" si="3"/>
        <v>80800</v>
      </c>
      <c r="AA36" s="107"/>
      <c r="AB36" s="102"/>
      <c r="AC36" s="107">
        <f t="shared" si="6"/>
        <v>0</v>
      </c>
      <c r="AD36" s="108"/>
      <c r="AE36" s="109"/>
      <c r="AF36" s="108"/>
      <c r="AG36" s="91"/>
      <c r="AH36" s="92"/>
    </row>
    <row r="37" spans="1:38" x14ac:dyDescent="0.25">
      <c r="A37" s="25">
        <f t="shared" si="8"/>
        <v>25</v>
      </c>
      <c r="B37" s="401">
        <f t="shared" si="8"/>
        <v>46125</v>
      </c>
      <c r="C37" s="461"/>
      <c r="D37" s="461"/>
      <c r="E37" s="461"/>
      <c r="F37" s="461"/>
      <c r="G37" s="461"/>
      <c r="H37" s="461"/>
      <c r="I37" s="461"/>
      <c r="J37" s="461"/>
      <c r="K37" s="461"/>
      <c r="L37" s="461"/>
      <c r="M37" s="461"/>
      <c r="N37" s="402"/>
      <c r="O37" s="110">
        <f t="shared" si="2"/>
        <v>94000</v>
      </c>
      <c r="P37" s="16"/>
      <c r="Q37" s="16"/>
      <c r="R37" s="123">
        <f>S4-P36</f>
        <v>137360</v>
      </c>
      <c r="S37" s="102">
        <f>('Consumption Guide'!G32*Z37)/1000</f>
        <v>9857.6</v>
      </c>
      <c r="T37" s="225">
        <f t="shared" si="0"/>
        <v>-18959.199999999997</v>
      </c>
      <c r="U37" s="103">
        <f t="shared" si="5"/>
        <v>0</v>
      </c>
      <c r="V37" s="122"/>
      <c r="W37" s="97"/>
      <c r="X37" s="171"/>
      <c r="Y37" s="285"/>
      <c r="Z37" s="113">
        <f t="shared" si="3"/>
        <v>80800</v>
      </c>
      <c r="AA37" s="107"/>
      <c r="AB37" s="102"/>
      <c r="AC37" s="107">
        <f t="shared" si="6"/>
        <v>0</v>
      </c>
      <c r="AD37" s="108"/>
      <c r="AE37" s="109"/>
      <c r="AF37" s="108"/>
      <c r="AG37" s="91"/>
      <c r="AH37" s="92"/>
    </row>
    <row r="38" spans="1:38" s="124" customFormat="1" x14ac:dyDescent="0.25">
      <c r="A38" s="124">
        <f t="shared" si="8"/>
        <v>26</v>
      </c>
      <c r="B38" s="401">
        <f t="shared" si="8"/>
        <v>46126</v>
      </c>
      <c r="C38" s="461"/>
      <c r="D38" s="461"/>
      <c r="E38" s="461"/>
      <c r="F38" s="461"/>
      <c r="G38" s="461"/>
      <c r="H38" s="461"/>
      <c r="I38" s="461"/>
      <c r="J38" s="461"/>
      <c r="K38" s="461"/>
      <c r="L38" s="461"/>
      <c r="M38" s="461"/>
      <c r="N38" s="402"/>
      <c r="O38" s="110">
        <f t="shared" si="2"/>
        <v>94000</v>
      </c>
      <c r="P38" s="16"/>
      <c r="Q38" s="16"/>
      <c r="R38" s="123">
        <f t="shared" ref="R38:R44" si="9">R37-P38</f>
        <v>137360</v>
      </c>
      <c r="S38" s="102">
        <f>('Consumption Guide'!G33*Z38)/1000</f>
        <v>10342.4</v>
      </c>
      <c r="T38" s="225">
        <f t="shared" si="0"/>
        <v>-29301.599999999999</v>
      </c>
      <c r="U38" s="103">
        <f t="shared" si="5"/>
        <v>0</v>
      </c>
      <c r="V38" s="122"/>
      <c r="W38" s="170"/>
      <c r="X38" s="121"/>
      <c r="Y38" s="286"/>
      <c r="Z38" s="113">
        <f t="shared" si="3"/>
        <v>80800</v>
      </c>
      <c r="AA38" s="107"/>
      <c r="AB38" s="102"/>
      <c r="AC38" s="107">
        <f t="shared" si="6"/>
        <v>0</v>
      </c>
      <c r="AD38" s="108"/>
      <c r="AE38" s="109"/>
      <c r="AF38" s="108"/>
      <c r="AG38" s="127"/>
      <c r="AH38" s="128"/>
    </row>
    <row r="39" spans="1:38" x14ac:dyDescent="0.25">
      <c r="A39" s="25">
        <f t="shared" si="8"/>
        <v>27</v>
      </c>
      <c r="B39" s="401">
        <f t="shared" si="8"/>
        <v>46127</v>
      </c>
      <c r="C39" s="461"/>
      <c r="D39" s="461"/>
      <c r="E39" s="461"/>
      <c r="F39" s="461"/>
      <c r="G39" s="461"/>
      <c r="H39" s="461"/>
      <c r="I39" s="461"/>
      <c r="J39" s="461"/>
      <c r="K39" s="461"/>
      <c r="L39" s="461"/>
      <c r="M39" s="461"/>
      <c r="N39" s="402"/>
      <c r="O39" s="110">
        <f t="shared" si="2"/>
        <v>94000</v>
      </c>
      <c r="P39" s="16"/>
      <c r="Q39" s="16"/>
      <c r="R39" s="123">
        <f t="shared" si="9"/>
        <v>137360</v>
      </c>
      <c r="S39" s="102">
        <f>('Consumption Guide'!G34*Z39)/1000</f>
        <v>10827.2</v>
      </c>
      <c r="T39" s="225">
        <f t="shared" si="0"/>
        <v>-40128.800000000003</v>
      </c>
      <c r="U39" s="103">
        <f t="shared" si="5"/>
        <v>0</v>
      </c>
      <c r="V39" s="129"/>
      <c r="W39" s="125"/>
      <c r="X39" s="171"/>
      <c r="Y39" s="285"/>
      <c r="Z39" s="113">
        <f t="shared" si="3"/>
        <v>80800</v>
      </c>
      <c r="AA39" s="107"/>
      <c r="AB39" s="102"/>
      <c r="AC39" s="107">
        <f t="shared" si="6"/>
        <v>0</v>
      </c>
      <c r="AD39" s="108"/>
      <c r="AE39" s="109"/>
      <c r="AF39" s="108"/>
      <c r="AG39" s="91"/>
      <c r="AH39" s="92"/>
    </row>
    <row r="40" spans="1:38" x14ac:dyDescent="0.25">
      <c r="A40" s="25">
        <f t="shared" si="8"/>
        <v>28</v>
      </c>
      <c r="B40" s="401">
        <f t="shared" si="8"/>
        <v>46128</v>
      </c>
      <c r="C40" s="461"/>
      <c r="D40" s="461"/>
      <c r="E40" s="461"/>
      <c r="F40" s="461"/>
      <c r="G40" s="461"/>
      <c r="H40" s="461"/>
      <c r="I40" s="461"/>
      <c r="J40" s="461"/>
      <c r="K40" s="461"/>
      <c r="L40" s="461"/>
      <c r="M40" s="461"/>
      <c r="N40" s="402"/>
      <c r="O40" s="110">
        <f t="shared" si="2"/>
        <v>94000</v>
      </c>
      <c r="P40" s="16"/>
      <c r="Q40" s="16"/>
      <c r="R40" s="123">
        <f t="shared" si="9"/>
        <v>137360</v>
      </c>
      <c r="S40" s="102">
        <f>('Consumption Guide'!G35*Z40)/1000</f>
        <v>11231.2</v>
      </c>
      <c r="T40" s="225">
        <f t="shared" si="0"/>
        <v>-51360</v>
      </c>
      <c r="U40" s="103">
        <f t="shared" si="5"/>
        <v>0</v>
      </c>
      <c r="V40" s="129"/>
      <c r="W40" s="130"/>
      <c r="X40" s="121"/>
      <c r="Y40" s="287"/>
      <c r="Z40" s="113">
        <f t="shared" si="3"/>
        <v>80800</v>
      </c>
      <c r="AA40" s="107"/>
      <c r="AB40" s="102"/>
      <c r="AC40" s="107">
        <f t="shared" si="6"/>
        <v>0</v>
      </c>
      <c r="AD40" s="108"/>
      <c r="AE40" s="109"/>
      <c r="AF40" s="108"/>
      <c r="AG40" s="91"/>
      <c r="AH40" s="92"/>
    </row>
    <row r="41" spans="1:38" x14ac:dyDescent="0.25">
      <c r="A41" s="25">
        <f t="shared" si="8"/>
        <v>29</v>
      </c>
      <c r="B41" s="401">
        <f t="shared" si="8"/>
        <v>46129</v>
      </c>
      <c r="C41" s="461"/>
      <c r="D41" s="461"/>
      <c r="E41" s="461"/>
      <c r="F41" s="461"/>
      <c r="G41" s="461"/>
      <c r="H41" s="461"/>
      <c r="I41" s="461"/>
      <c r="J41" s="461"/>
      <c r="K41" s="461"/>
      <c r="L41" s="461"/>
      <c r="M41" s="461"/>
      <c r="N41" s="402"/>
      <c r="O41" s="110">
        <f t="shared" si="2"/>
        <v>94000</v>
      </c>
      <c r="P41" s="16"/>
      <c r="Q41" s="16"/>
      <c r="R41" s="123">
        <f t="shared" si="9"/>
        <v>137360</v>
      </c>
      <c r="S41" s="102">
        <f>('Consumption Guide'!G36*Z41)/1000</f>
        <v>11312</v>
      </c>
      <c r="T41" s="225">
        <f t="shared" si="0"/>
        <v>-62672</v>
      </c>
      <c r="U41" s="103">
        <f t="shared" si="5"/>
        <v>0</v>
      </c>
      <c r="V41" s="129"/>
      <c r="W41" s="170"/>
      <c r="X41" s="171"/>
      <c r="Y41" s="288"/>
      <c r="Z41" s="113">
        <f t="shared" si="3"/>
        <v>80800</v>
      </c>
      <c r="AA41" s="107"/>
      <c r="AB41" s="102"/>
      <c r="AC41" s="107">
        <f t="shared" si="6"/>
        <v>0</v>
      </c>
      <c r="AD41" s="108"/>
      <c r="AE41" s="109"/>
      <c r="AF41" s="108"/>
      <c r="AG41" s="91"/>
      <c r="AH41" s="92"/>
    </row>
    <row r="42" spans="1:38" x14ac:dyDescent="0.25">
      <c r="A42" s="25">
        <f t="shared" si="8"/>
        <v>30</v>
      </c>
      <c r="B42" s="401">
        <f t="shared" si="8"/>
        <v>46130</v>
      </c>
      <c r="C42" s="461"/>
      <c r="D42" s="461"/>
      <c r="E42" s="461"/>
      <c r="F42" s="461"/>
      <c r="G42" s="461"/>
      <c r="H42" s="461"/>
      <c r="I42" s="461"/>
      <c r="J42" s="461"/>
      <c r="K42" s="461"/>
      <c r="L42" s="461"/>
      <c r="M42" s="461"/>
      <c r="N42" s="402"/>
      <c r="O42" s="110">
        <f t="shared" si="2"/>
        <v>94000</v>
      </c>
      <c r="P42" s="16"/>
      <c r="Q42" s="16"/>
      <c r="R42" s="123">
        <f t="shared" si="9"/>
        <v>137360</v>
      </c>
      <c r="S42" s="102">
        <f>('Consumption Guide'!G37*Z42)/1000</f>
        <v>11473.6</v>
      </c>
      <c r="T42" s="225">
        <f t="shared" si="0"/>
        <v>-74145.600000000006</v>
      </c>
      <c r="U42" s="103">
        <f t="shared" si="5"/>
        <v>0</v>
      </c>
      <c r="V42" s="129"/>
      <c r="W42" s="170"/>
      <c r="X42" s="133"/>
      <c r="Y42" s="123"/>
      <c r="Z42" s="113">
        <f t="shared" si="3"/>
        <v>80800</v>
      </c>
      <c r="AA42" s="107"/>
      <c r="AB42" s="102"/>
      <c r="AC42" s="107">
        <f t="shared" si="6"/>
        <v>0</v>
      </c>
      <c r="AD42" s="108"/>
      <c r="AE42" s="109"/>
      <c r="AF42" s="108"/>
      <c r="AG42" s="91"/>
      <c r="AH42" s="92"/>
    </row>
    <row r="43" spans="1:38" x14ac:dyDescent="0.25">
      <c r="A43" s="25">
        <f t="shared" si="8"/>
        <v>31</v>
      </c>
      <c r="B43" s="401">
        <f t="shared" si="8"/>
        <v>46131</v>
      </c>
      <c r="C43" s="461"/>
      <c r="D43" s="461"/>
      <c r="E43" s="461"/>
      <c r="F43" s="461"/>
      <c r="G43" s="461"/>
      <c r="H43" s="461"/>
      <c r="I43" s="461"/>
      <c r="J43" s="461"/>
      <c r="K43" s="461"/>
      <c r="L43" s="461"/>
      <c r="M43" s="461"/>
      <c r="N43" s="402"/>
      <c r="O43" s="110">
        <f t="shared" si="2"/>
        <v>94000</v>
      </c>
      <c r="P43" s="16"/>
      <c r="Q43" s="16"/>
      <c r="R43" s="123">
        <f t="shared" si="9"/>
        <v>137360</v>
      </c>
      <c r="S43" s="102">
        <f>('Consumption Guide'!G38*Z43)/1000</f>
        <v>12039.2</v>
      </c>
      <c r="T43" s="225">
        <f t="shared" si="0"/>
        <v>-86184.8</v>
      </c>
      <c r="U43" s="103">
        <f t="shared" si="5"/>
        <v>0</v>
      </c>
      <c r="V43" s="129"/>
      <c r="W43" s="170"/>
      <c r="X43" s="134"/>
      <c r="Y43" s="286"/>
      <c r="Z43" s="113">
        <f t="shared" si="3"/>
        <v>80800</v>
      </c>
      <c r="AA43" s="107"/>
      <c r="AB43" s="102"/>
      <c r="AC43" s="107">
        <f t="shared" si="6"/>
        <v>0</v>
      </c>
      <c r="AD43" s="108"/>
      <c r="AE43" s="109"/>
      <c r="AF43" s="108"/>
      <c r="AG43" s="91"/>
      <c r="AH43" s="92"/>
    </row>
    <row r="44" spans="1:38" x14ac:dyDescent="0.25">
      <c r="A44" s="25">
        <f t="shared" si="8"/>
        <v>32</v>
      </c>
      <c r="B44" s="401">
        <f t="shared" si="8"/>
        <v>46132</v>
      </c>
      <c r="C44" s="461"/>
      <c r="D44" s="461"/>
      <c r="E44" s="461"/>
      <c r="F44" s="461"/>
      <c r="G44" s="461"/>
      <c r="H44" s="461"/>
      <c r="I44" s="461"/>
      <c r="J44" s="461"/>
      <c r="K44" s="461"/>
      <c r="L44" s="461"/>
      <c r="M44" s="461"/>
      <c r="N44" s="402"/>
      <c r="O44" s="110">
        <f t="shared" si="2"/>
        <v>94000</v>
      </c>
      <c r="P44" s="16"/>
      <c r="Q44" s="16"/>
      <c r="R44" s="123">
        <f t="shared" si="9"/>
        <v>137360</v>
      </c>
      <c r="S44" s="102">
        <f>('Consumption Guide'!G39*Z44)/1000</f>
        <v>12362.4</v>
      </c>
      <c r="T44" s="225">
        <f t="shared" si="0"/>
        <v>-98547.199999999997</v>
      </c>
      <c r="U44" s="103">
        <f>(V44+X44+W44)</f>
        <v>0</v>
      </c>
      <c r="V44" s="129"/>
      <c r="W44" s="170"/>
      <c r="X44" s="134"/>
      <c r="Y44" s="283"/>
      <c r="Z44" s="113">
        <f t="shared" si="3"/>
        <v>80800</v>
      </c>
      <c r="AA44" s="107"/>
      <c r="AB44" s="102"/>
      <c r="AC44" s="107">
        <f t="shared" si="6"/>
        <v>0</v>
      </c>
      <c r="AD44" s="108"/>
      <c r="AE44" s="109"/>
      <c r="AF44" s="108"/>
      <c r="AG44" s="91"/>
      <c r="AH44" s="92"/>
    </row>
    <row r="45" spans="1:38" s="247" customFormat="1" x14ac:dyDescent="0.25">
      <c r="A45" s="124">
        <f t="shared" si="8"/>
        <v>33</v>
      </c>
      <c r="B45" s="401">
        <f t="shared" si="8"/>
        <v>46133</v>
      </c>
      <c r="C45" s="461"/>
      <c r="D45" s="461"/>
      <c r="E45" s="461"/>
      <c r="F45" s="461"/>
      <c r="G45" s="461"/>
      <c r="H45" s="461"/>
      <c r="I45" s="461"/>
      <c r="J45" s="461"/>
      <c r="K45" s="461"/>
      <c r="L45" s="461"/>
      <c r="M45" s="461"/>
      <c r="N45" s="402"/>
      <c r="O45" s="110">
        <f t="shared" si="2"/>
        <v>94000</v>
      </c>
      <c r="P45" s="16"/>
      <c r="Q45" s="16"/>
      <c r="R45" s="135">
        <v>0</v>
      </c>
      <c r="S45" s="102">
        <f>('Consumption Guide'!G40*Z45)/1000</f>
        <v>12766.4</v>
      </c>
      <c r="T45" s="225">
        <f t="shared" si="0"/>
        <v>-111313.59999999999</v>
      </c>
      <c r="U45" s="103">
        <f t="shared" si="5"/>
        <v>0</v>
      </c>
      <c r="V45" s="129"/>
      <c r="W45" s="130"/>
      <c r="X45" s="134"/>
      <c r="Y45" s="283"/>
      <c r="Z45" s="113">
        <f t="shared" si="3"/>
        <v>80800</v>
      </c>
      <c r="AA45" s="136"/>
      <c r="AB45" s="102"/>
      <c r="AC45" s="107">
        <f t="shared" si="6"/>
        <v>0</v>
      </c>
      <c r="AD45" s="108"/>
      <c r="AE45" s="109"/>
      <c r="AF45" s="108"/>
      <c r="AG45" s="127"/>
      <c r="AH45" s="128"/>
      <c r="AI45" s="124"/>
      <c r="AJ45" s="124"/>
      <c r="AK45" s="124"/>
      <c r="AL45" s="124"/>
    </row>
    <row r="46" spans="1:38" x14ac:dyDescent="0.25">
      <c r="A46" s="25">
        <f t="shared" si="8"/>
        <v>34</v>
      </c>
      <c r="B46" s="401">
        <f t="shared" si="8"/>
        <v>46134</v>
      </c>
      <c r="C46" s="461"/>
      <c r="D46" s="461"/>
      <c r="E46" s="461"/>
      <c r="F46" s="461"/>
      <c r="G46" s="461"/>
      <c r="H46" s="461"/>
      <c r="I46" s="461"/>
      <c r="J46" s="461"/>
      <c r="K46" s="461"/>
      <c r="L46" s="461"/>
      <c r="M46" s="461"/>
      <c r="N46" s="402"/>
      <c r="O46" s="110">
        <f t="shared" si="2"/>
        <v>94000</v>
      </c>
      <c r="P46" s="16"/>
      <c r="Q46" s="16"/>
      <c r="R46" s="135">
        <v>0</v>
      </c>
      <c r="S46" s="102">
        <f>('Consumption Guide'!G41*Z46)/1000</f>
        <v>13170.4</v>
      </c>
      <c r="T46" s="225">
        <f t="shared" si="0"/>
        <v>-124483.99999999999</v>
      </c>
      <c r="U46" s="103">
        <f t="shared" si="5"/>
        <v>0</v>
      </c>
      <c r="V46" s="129"/>
      <c r="W46" s="130"/>
      <c r="X46" s="134"/>
      <c r="Y46" s="283"/>
      <c r="Z46" s="113">
        <f t="shared" ref="Z46:Z72" si="10">SUM(Z45-Y46)</f>
        <v>80800</v>
      </c>
      <c r="AA46" s="136"/>
      <c r="AB46" s="102"/>
      <c r="AC46" s="107">
        <f t="shared" si="6"/>
        <v>0</v>
      </c>
      <c r="AD46" s="108"/>
      <c r="AE46" s="109"/>
      <c r="AF46" s="108"/>
      <c r="AG46" s="91"/>
      <c r="AH46" s="92"/>
    </row>
    <row r="47" spans="1:38" x14ac:dyDescent="0.25">
      <c r="A47" s="25">
        <f t="shared" ref="A47:B62" si="11">A46+1</f>
        <v>35</v>
      </c>
      <c r="B47" s="401">
        <f t="shared" si="11"/>
        <v>46135</v>
      </c>
      <c r="C47" s="461"/>
      <c r="D47" s="461"/>
      <c r="E47" s="461"/>
      <c r="F47" s="461"/>
      <c r="G47" s="461"/>
      <c r="H47" s="461"/>
      <c r="I47" s="461"/>
      <c r="J47" s="461"/>
      <c r="K47" s="461"/>
      <c r="L47" s="461"/>
      <c r="M47" s="461"/>
      <c r="N47" s="402"/>
      <c r="O47" s="110">
        <f t="shared" si="2"/>
        <v>94000</v>
      </c>
      <c r="P47" s="16"/>
      <c r="Q47" s="16"/>
      <c r="R47" s="135">
        <v>0</v>
      </c>
      <c r="S47" s="102">
        <f>('Consumption Guide'!G42*Z47)/1000</f>
        <v>13332</v>
      </c>
      <c r="T47" s="225">
        <f t="shared" si="0"/>
        <v>-137816</v>
      </c>
      <c r="U47" s="103">
        <f t="shared" si="5"/>
        <v>0</v>
      </c>
      <c r="V47" s="129"/>
      <c r="W47" s="130"/>
      <c r="X47" s="134"/>
      <c r="Y47" s="283"/>
      <c r="Z47" s="113">
        <f t="shared" si="10"/>
        <v>80800</v>
      </c>
      <c r="AA47" s="136"/>
      <c r="AB47" s="102"/>
      <c r="AC47" s="107">
        <f t="shared" si="6"/>
        <v>0</v>
      </c>
      <c r="AD47" s="108"/>
      <c r="AE47" s="109"/>
      <c r="AF47" s="108"/>
      <c r="AG47" s="91"/>
      <c r="AH47" s="92"/>
    </row>
    <row r="48" spans="1:38" x14ac:dyDescent="0.25">
      <c r="A48" s="25">
        <f t="shared" si="11"/>
        <v>36</v>
      </c>
      <c r="B48" s="401">
        <f t="shared" si="11"/>
        <v>46136</v>
      </c>
      <c r="C48" s="461"/>
      <c r="D48" s="461"/>
      <c r="E48" s="461"/>
      <c r="F48" s="461"/>
      <c r="G48" s="461"/>
      <c r="H48" s="461"/>
      <c r="I48" s="461"/>
      <c r="J48" s="461"/>
      <c r="K48" s="461"/>
      <c r="L48" s="461"/>
      <c r="M48" s="461"/>
      <c r="N48" s="402"/>
      <c r="O48" s="110">
        <f t="shared" si="2"/>
        <v>94000</v>
      </c>
      <c r="P48" s="16"/>
      <c r="Q48" s="16"/>
      <c r="R48" s="135">
        <v>0</v>
      </c>
      <c r="S48" s="102">
        <f>('Consumption Guide'!G43*Z48)/1000</f>
        <v>13574.4</v>
      </c>
      <c r="T48" s="225">
        <f t="shared" si="0"/>
        <v>-151390.39999999999</v>
      </c>
      <c r="U48" s="103">
        <f t="shared" si="5"/>
        <v>0</v>
      </c>
      <c r="V48" s="129"/>
      <c r="W48" s="130"/>
      <c r="X48" s="134"/>
      <c r="Y48" s="283"/>
      <c r="Z48" s="113">
        <f t="shared" si="10"/>
        <v>80800</v>
      </c>
      <c r="AA48" s="136"/>
      <c r="AB48" s="102"/>
      <c r="AC48" s="107">
        <f t="shared" si="6"/>
        <v>0</v>
      </c>
      <c r="AD48" s="108"/>
      <c r="AE48" s="109"/>
      <c r="AF48" s="108"/>
      <c r="AG48" s="91"/>
      <c r="AH48" s="92"/>
    </row>
    <row r="49" spans="1:34" x14ac:dyDescent="0.25">
      <c r="A49" s="25">
        <f t="shared" si="11"/>
        <v>37</v>
      </c>
      <c r="B49" s="401">
        <f t="shared" si="11"/>
        <v>46137</v>
      </c>
      <c r="C49" s="461"/>
      <c r="D49" s="461"/>
      <c r="E49" s="461"/>
      <c r="F49" s="461"/>
      <c r="G49" s="461"/>
      <c r="H49" s="461"/>
      <c r="I49" s="461"/>
      <c r="J49" s="461"/>
      <c r="K49" s="461"/>
      <c r="L49" s="461"/>
      <c r="M49" s="461"/>
      <c r="N49" s="402"/>
      <c r="O49" s="110">
        <f t="shared" si="2"/>
        <v>94000</v>
      </c>
      <c r="P49" s="277"/>
      <c r="Q49" s="277"/>
      <c r="R49" s="135">
        <v>0</v>
      </c>
      <c r="S49" s="102">
        <f>('Consumption Guide'!G44*Z49)/1000</f>
        <v>13816.8</v>
      </c>
      <c r="T49" s="225">
        <f t="shared" si="0"/>
        <v>-165207.19999999998</v>
      </c>
      <c r="U49" s="103">
        <f t="shared" si="5"/>
        <v>0</v>
      </c>
      <c r="V49" s="129"/>
      <c r="W49" s="130"/>
      <c r="X49" s="134"/>
      <c r="Y49" s="283"/>
      <c r="Z49" s="113">
        <f t="shared" si="10"/>
        <v>80800</v>
      </c>
      <c r="AA49" s="136"/>
      <c r="AB49" s="102"/>
      <c r="AC49" s="107">
        <f t="shared" si="6"/>
        <v>0</v>
      </c>
      <c r="AD49" s="108"/>
      <c r="AE49" s="109"/>
      <c r="AF49" s="108"/>
      <c r="AG49" s="91"/>
      <c r="AH49" s="92"/>
    </row>
    <row r="50" spans="1:34" x14ac:dyDescent="0.25">
      <c r="A50" s="25">
        <f t="shared" si="11"/>
        <v>38</v>
      </c>
      <c r="B50" s="401">
        <f t="shared" si="11"/>
        <v>46138</v>
      </c>
      <c r="C50" s="461"/>
      <c r="D50" s="461"/>
      <c r="E50" s="461"/>
      <c r="F50" s="461"/>
      <c r="G50" s="461"/>
      <c r="H50" s="461"/>
      <c r="I50" s="461"/>
      <c r="J50" s="461"/>
      <c r="K50" s="461"/>
      <c r="L50" s="461"/>
      <c r="M50" s="461"/>
      <c r="N50" s="402"/>
      <c r="O50" s="110">
        <f t="shared" si="2"/>
        <v>94000</v>
      </c>
      <c r="P50" s="99"/>
      <c r="Q50" s="99"/>
      <c r="R50" s="135">
        <v>0</v>
      </c>
      <c r="S50" s="102">
        <f>('Consumption Guide'!G45*Z50)/1000</f>
        <v>14059.2</v>
      </c>
      <c r="T50" s="225">
        <f t="shared" si="0"/>
        <v>-179266.4</v>
      </c>
      <c r="U50" s="103">
        <f t="shared" si="5"/>
        <v>0</v>
      </c>
      <c r="V50" s="129"/>
      <c r="W50" s="130"/>
      <c r="X50" s="134"/>
      <c r="Y50" s="283"/>
      <c r="Z50" s="113">
        <f t="shared" si="10"/>
        <v>80800</v>
      </c>
      <c r="AA50" s="136"/>
      <c r="AB50" s="102"/>
      <c r="AC50" s="107">
        <f t="shared" si="6"/>
        <v>0</v>
      </c>
      <c r="AD50" s="108"/>
      <c r="AE50" s="109"/>
      <c r="AF50" s="108"/>
      <c r="AG50" s="91"/>
      <c r="AH50" s="92"/>
    </row>
    <row r="51" spans="1:34" ht="21" customHeight="1" x14ac:dyDescent="0.25">
      <c r="A51" s="25">
        <f t="shared" si="11"/>
        <v>39</v>
      </c>
      <c r="B51" s="401">
        <f t="shared" si="11"/>
        <v>46139</v>
      </c>
      <c r="C51" s="461"/>
      <c r="D51" s="461"/>
      <c r="E51" s="461"/>
      <c r="F51" s="461"/>
      <c r="G51" s="461"/>
      <c r="H51" s="461"/>
      <c r="I51" s="461"/>
      <c r="J51" s="461"/>
      <c r="K51" s="461"/>
      <c r="L51" s="461"/>
      <c r="M51" s="461"/>
      <c r="N51" s="402"/>
      <c r="O51" s="110">
        <f t="shared" si="2"/>
        <v>94000</v>
      </c>
      <c r="P51" s="99"/>
      <c r="Q51" s="99"/>
      <c r="R51" s="135">
        <v>0</v>
      </c>
      <c r="S51" s="102">
        <f>('Consumption Guide'!G46*Z51)/1000</f>
        <v>14220.8</v>
      </c>
      <c r="T51" s="225">
        <f t="shared" si="0"/>
        <v>-193487.19999999998</v>
      </c>
      <c r="U51" s="103">
        <f t="shared" si="5"/>
        <v>0</v>
      </c>
      <c r="V51" s="129"/>
      <c r="W51" s="130"/>
      <c r="X51" s="134"/>
      <c r="Y51" s="289"/>
      <c r="Z51" s="113">
        <f t="shared" si="10"/>
        <v>80800</v>
      </c>
      <c r="AA51" s="136"/>
      <c r="AB51" s="102"/>
      <c r="AC51" s="107">
        <f t="shared" si="6"/>
        <v>0</v>
      </c>
      <c r="AD51" s="108"/>
      <c r="AE51" s="109"/>
      <c r="AF51" s="108"/>
      <c r="AG51" s="91"/>
      <c r="AH51" s="92"/>
    </row>
    <row r="52" spans="1:34" x14ac:dyDescent="0.25">
      <c r="A52" s="25">
        <f t="shared" si="11"/>
        <v>40</v>
      </c>
      <c r="B52" s="401">
        <f t="shared" si="11"/>
        <v>46140</v>
      </c>
      <c r="C52" s="461"/>
      <c r="D52" s="461"/>
      <c r="E52" s="461"/>
      <c r="F52" s="461"/>
      <c r="G52" s="461"/>
      <c r="H52" s="461"/>
      <c r="I52" s="461"/>
      <c r="J52" s="461"/>
      <c r="K52" s="461"/>
      <c r="L52" s="461"/>
      <c r="M52" s="461"/>
      <c r="N52" s="402"/>
      <c r="O52" s="110">
        <f t="shared" si="2"/>
        <v>94000</v>
      </c>
      <c r="P52" s="99"/>
      <c r="Q52" s="99"/>
      <c r="R52" s="135">
        <v>0</v>
      </c>
      <c r="S52" s="102">
        <f>('Consumption Guide'!G47*Z52)/1000</f>
        <v>14382.4</v>
      </c>
      <c r="T52" s="225">
        <f t="shared" si="0"/>
        <v>-207869.59999999998</v>
      </c>
      <c r="U52" s="103">
        <f t="shared" si="5"/>
        <v>0</v>
      </c>
      <c r="V52" s="129"/>
      <c r="W52" s="130"/>
      <c r="X52" s="134"/>
      <c r="Y52" s="283"/>
      <c r="Z52" s="113">
        <f t="shared" si="10"/>
        <v>80800</v>
      </c>
      <c r="AA52" s="136"/>
      <c r="AB52" s="102"/>
      <c r="AC52" s="107">
        <f t="shared" si="6"/>
        <v>0</v>
      </c>
      <c r="AD52" s="108"/>
      <c r="AE52" s="109"/>
      <c r="AF52" s="108"/>
      <c r="AG52" s="91"/>
      <c r="AH52" s="92"/>
    </row>
    <row r="53" spans="1:34" x14ac:dyDescent="0.25">
      <c r="A53" s="139">
        <f t="shared" si="11"/>
        <v>41</v>
      </c>
      <c r="B53" s="401">
        <f t="shared" si="11"/>
        <v>46141</v>
      </c>
      <c r="C53" s="461"/>
      <c r="D53" s="461"/>
      <c r="E53" s="461"/>
      <c r="F53" s="461"/>
      <c r="G53" s="461"/>
      <c r="H53" s="461"/>
      <c r="I53" s="461"/>
      <c r="J53" s="461"/>
      <c r="K53" s="461"/>
      <c r="L53" s="461"/>
      <c r="M53" s="461"/>
      <c r="N53" s="402"/>
      <c r="O53" s="140">
        <f t="shared" si="2"/>
        <v>94000</v>
      </c>
      <c r="P53" s="99"/>
      <c r="Q53" s="99"/>
      <c r="R53" s="135">
        <v>0</v>
      </c>
      <c r="S53" s="141">
        <f>('Consumption Guide'!G48*Z53)/1000</f>
        <v>14544</v>
      </c>
      <c r="T53" s="226">
        <f t="shared" si="0"/>
        <v>-222413.59999999998</v>
      </c>
      <c r="U53" s="103">
        <f t="shared" si="5"/>
        <v>0</v>
      </c>
      <c r="V53" s="129"/>
      <c r="W53" s="16"/>
      <c r="X53" s="142"/>
      <c r="Y53" s="283"/>
      <c r="Z53" s="113">
        <f t="shared" si="10"/>
        <v>80800</v>
      </c>
      <c r="AA53" s="136"/>
      <c r="AB53" s="102"/>
      <c r="AC53" s="107">
        <f t="shared" si="6"/>
        <v>0</v>
      </c>
      <c r="AD53" s="108"/>
      <c r="AE53" s="109"/>
      <c r="AF53" s="108"/>
      <c r="AG53" s="91"/>
      <c r="AH53" s="92"/>
    </row>
    <row r="54" spans="1:34" x14ac:dyDescent="0.25">
      <c r="A54" s="25">
        <f t="shared" si="11"/>
        <v>42</v>
      </c>
      <c r="B54" s="401">
        <f t="shared" si="11"/>
        <v>46142</v>
      </c>
      <c r="C54" s="461"/>
      <c r="D54" s="461"/>
      <c r="E54" s="461"/>
      <c r="F54" s="461"/>
      <c r="G54" s="461"/>
      <c r="H54" s="461"/>
      <c r="I54" s="461"/>
      <c r="J54" s="461"/>
      <c r="K54" s="461"/>
      <c r="L54" s="461"/>
      <c r="M54" s="461"/>
      <c r="N54" s="402"/>
      <c r="O54" s="110">
        <f t="shared" si="2"/>
        <v>94000</v>
      </c>
      <c r="P54" s="99"/>
      <c r="Q54" s="99"/>
      <c r="R54" s="135">
        <v>0</v>
      </c>
      <c r="S54" s="102">
        <f>('Consumption Guide'!G49*Z54)/1000</f>
        <v>14624.8</v>
      </c>
      <c r="T54" s="225">
        <f t="shared" si="0"/>
        <v>-237038.39999999997</v>
      </c>
      <c r="U54" s="103">
        <f t="shared" si="5"/>
        <v>0</v>
      </c>
      <c r="V54" s="138"/>
      <c r="W54" s="99"/>
      <c r="X54" s="142"/>
      <c r="Y54" s="283"/>
      <c r="Z54" s="113">
        <f t="shared" si="10"/>
        <v>80800</v>
      </c>
      <c r="AA54" s="136"/>
      <c r="AB54" s="102"/>
      <c r="AC54" s="107">
        <f t="shared" si="6"/>
        <v>0</v>
      </c>
      <c r="AD54" s="108"/>
      <c r="AE54" s="109"/>
      <c r="AF54" s="109"/>
      <c r="AG54" s="91"/>
      <c r="AH54" s="92"/>
    </row>
    <row r="55" spans="1:34" x14ac:dyDescent="0.25">
      <c r="A55" s="25">
        <f t="shared" si="11"/>
        <v>43</v>
      </c>
      <c r="B55" s="401">
        <f t="shared" si="11"/>
        <v>46143</v>
      </c>
      <c r="C55" s="461"/>
      <c r="D55" s="461"/>
      <c r="E55" s="461"/>
      <c r="F55" s="461"/>
      <c r="G55" s="461"/>
      <c r="H55" s="461"/>
      <c r="I55" s="461"/>
      <c r="J55" s="461"/>
      <c r="K55" s="461"/>
      <c r="L55" s="461"/>
      <c r="M55" s="461"/>
      <c r="N55" s="402"/>
      <c r="O55" s="110">
        <f t="shared" si="2"/>
        <v>94000</v>
      </c>
      <c r="P55" s="99"/>
      <c r="Q55" s="99"/>
      <c r="R55" s="135">
        <v>0</v>
      </c>
      <c r="S55" s="102">
        <f>('Consumption Guide'!G50*Z55)/1000</f>
        <v>15190.4</v>
      </c>
      <c r="T55" s="225">
        <f t="shared" si="0"/>
        <v>-252228.79999999996</v>
      </c>
      <c r="U55" s="103">
        <f t="shared" si="5"/>
        <v>0</v>
      </c>
      <c r="V55" s="138"/>
      <c r="W55" s="99"/>
      <c r="X55" s="118"/>
      <c r="Y55" s="283"/>
      <c r="Z55" s="113">
        <f t="shared" si="10"/>
        <v>80800</v>
      </c>
      <c r="AA55" s="136"/>
      <c r="AB55" s="102"/>
      <c r="AC55" s="107">
        <f t="shared" si="6"/>
        <v>0</v>
      </c>
      <c r="AD55" s="108"/>
      <c r="AE55" s="109"/>
      <c r="AF55" s="108"/>
      <c r="AG55" s="91"/>
      <c r="AH55" s="92"/>
    </row>
    <row r="56" spans="1:34" x14ac:dyDescent="0.25">
      <c r="A56" s="25">
        <f t="shared" si="11"/>
        <v>44</v>
      </c>
      <c r="B56" s="401">
        <f t="shared" si="11"/>
        <v>46144</v>
      </c>
      <c r="C56" s="461"/>
      <c r="D56" s="461"/>
      <c r="E56" s="461"/>
      <c r="F56" s="461"/>
      <c r="G56" s="461"/>
      <c r="H56" s="461"/>
      <c r="I56" s="461"/>
      <c r="J56" s="461"/>
      <c r="K56" s="461"/>
      <c r="L56" s="461"/>
      <c r="M56" s="461"/>
      <c r="N56" s="402"/>
      <c r="O56" s="110">
        <f t="shared" si="2"/>
        <v>94000</v>
      </c>
      <c r="P56" s="99"/>
      <c r="Q56" s="99"/>
      <c r="R56" s="135">
        <v>0</v>
      </c>
      <c r="S56" s="102">
        <f>('Consumption Guide'!G51*Z56)/1000</f>
        <v>15352</v>
      </c>
      <c r="T56" s="225">
        <f t="shared" si="0"/>
        <v>-267580.79999999993</v>
      </c>
      <c r="U56" s="103">
        <f t="shared" si="5"/>
        <v>0</v>
      </c>
      <c r="V56" s="138"/>
      <c r="W56" s="99"/>
      <c r="X56" s="118"/>
      <c r="Y56" s="282"/>
      <c r="Z56" s="113">
        <f t="shared" si="10"/>
        <v>80800</v>
      </c>
      <c r="AA56" s="136"/>
      <c r="AB56" s="102"/>
      <c r="AC56" s="107">
        <f t="shared" si="6"/>
        <v>0</v>
      </c>
      <c r="AD56" s="108"/>
      <c r="AE56" s="109"/>
      <c r="AF56" s="108"/>
      <c r="AG56" s="91"/>
      <c r="AH56" s="92"/>
    </row>
    <row r="57" spans="1:34" s="124" customFormat="1" x14ac:dyDescent="0.25">
      <c r="A57" s="124">
        <f t="shared" si="11"/>
        <v>45</v>
      </c>
      <c r="B57" s="401">
        <f t="shared" si="11"/>
        <v>46145</v>
      </c>
      <c r="C57" s="461"/>
      <c r="D57" s="461"/>
      <c r="E57" s="461"/>
      <c r="F57" s="461"/>
      <c r="G57" s="461"/>
      <c r="H57" s="461"/>
      <c r="I57" s="461"/>
      <c r="J57" s="461"/>
      <c r="K57" s="461"/>
      <c r="L57" s="461"/>
      <c r="M57" s="461"/>
      <c r="N57" s="402"/>
      <c r="O57" s="110">
        <f t="shared" si="2"/>
        <v>94000</v>
      </c>
      <c r="P57" s="99"/>
      <c r="Q57" s="99"/>
      <c r="R57" s="135">
        <v>0</v>
      </c>
      <c r="S57" s="102">
        <f>('Consumption Guide'!G52*Z57)/1000</f>
        <v>15513.6</v>
      </c>
      <c r="T57" s="102">
        <f t="shared" si="0"/>
        <v>-283094.39999999991</v>
      </c>
      <c r="U57" s="103">
        <f t="shared" si="5"/>
        <v>0</v>
      </c>
      <c r="V57" s="138"/>
      <c r="W57" s="99"/>
      <c r="X57" s="118"/>
      <c r="Y57" s="283"/>
      <c r="Z57" s="113">
        <f t="shared" si="10"/>
        <v>80800</v>
      </c>
      <c r="AA57" s="136"/>
      <c r="AB57" s="102"/>
      <c r="AC57" s="107">
        <f t="shared" si="6"/>
        <v>0</v>
      </c>
      <c r="AD57" s="108"/>
      <c r="AE57" s="109"/>
      <c r="AF57" s="109"/>
      <c r="AG57" s="127"/>
      <c r="AH57" s="128"/>
    </row>
    <row r="58" spans="1:34" s="124" customFormat="1" x14ac:dyDescent="0.25">
      <c r="A58" s="124">
        <f t="shared" si="11"/>
        <v>46</v>
      </c>
      <c r="B58" s="401">
        <f t="shared" si="11"/>
        <v>46146</v>
      </c>
      <c r="C58" s="461"/>
      <c r="D58" s="461"/>
      <c r="E58" s="461"/>
      <c r="F58" s="461"/>
      <c r="G58" s="461"/>
      <c r="H58" s="461"/>
      <c r="I58" s="461"/>
      <c r="J58" s="461"/>
      <c r="K58" s="461"/>
      <c r="L58" s="461"/>
      <c r="M58" s="461"/>
      <c r="N58" s="402"/>
      <c r="O58" s="110">
        <f t="shared" si="2"/>
        <v>94000</v>
      </c>
      <c r="P58" s="99"/>
      <c r="Q58" s="99"/>
      <c r="R58" s="135">
        <v>0</v>
      </c>
      <c r="S58" s="102">
        <f>('Consumption Guide'!G53*Z58)/1000</f>
        <v>15594.4</v>
      </c>
      <c r="T58" s="225">
        <f t="shared" si="0"/>
        <v>-298688.79999999993</v>
      </c>
      <c r="U58" s="103">
        <f t="shared" si="5"/>
        <v>0</v>
      </c>
      <c r="V58" s="138"/>
      <c r="W58" s="99"/>
      <c r="X58" s="118"/>
      <c r="Y58" s="283"/>
      <c r="Z58" s="113">
        <f t="shared" si="10"/>
        <v>80800</v>
      </c>
      <c r="AA58" s="136"/>
      <c r="AB58" s="102"/>
      <c r="AC58" s="107">
        <f t="shared" si="6"/>
        <v>0</v>
      </c>
      <c r="AD58" s="108"/>
      <c r="AE58" s="109"/>
      <c r="AF58" s="109"/>
      <c r="AG58" s="127"/>
      <c r="AH58" s="128"/>
    </row>
    <row r="59" spans="1:34" s="124" customFormat="1" ht="24" customHeight="1" x14ac:dyDescent="0.25">
      <c r="A59" s="124">
        <f t="shared" si="11"/>
        <v>47</v>
      </c>
      <c r="B59" s="401">
        <f t="shared" si="11"/>
        <v>46147</v>
      </c>
      <c r="C59" s="461"/>
      <c r="D59" s="461"/>
      <c r="E59" s="461"/>
      <c r="F59" s="461"/>
      <c r="G59" s="461"/>
      <c r="H59" s="461"/>
      <c r="I59" s="461"/>
      <c r="J59" s="461"/>
      <c r="K59" s="461"/>
      <c r="L59" s="461"/>
      <c r="M59" s="461"/>
      <c r="N59" s="402"/>
      <c r="O59" s="110">
        <f>O58+P59</f>
        <v>94000</v>
      </c>
      <c r="P59" s="99"/>
      <c r="Q59" s="99"/>
      <c r="R59" s="135">
        <v>0</v>
      </c>
      <c r="S59" s="102">
        <f>('Consumption Guide'!G54*Z59)/1000</f>
        <v>15675.2</v>
      </c>
      <c r="T59" s="102">
        <f>IF((U59&gt;0),(U59-S59+P59),(T58-S59+P59))</f>
        <v>-314363.99999999994</v>
      </c>
      <c r="U59" s="103">
        <f t="shared" si="5"/>
        <v>0</v>
      </c>
      <c r="V59" s="138"/>
      <c r="W59" s="99"/>
      <c r="X59" s="118"/>
      <c r="Y59" s="283"/>
      <c r="Z59" s="113">
        <f t="shared" si="10"/>
        <v>80800</v>
      </c>
      <c r="AA59" s="136"/>
      <c r="AB59" s="102"/>
      <c r="AC59" s="107">
        <f t="shared" si="6"/>
        <v>0</v>
      </c>
      <c r="AD59" s="108"/>
      <c r="AE59" s="109"/>
      <c r="AF59" s="108"/>
      <c r="AG59" s="127"/>
      <c r="AH59" s="128"/>
    </row>
    <row r="60" spans="1:34" x14ac:dyDescent="0.25">
      <c r="A60" s="25">
        <f t="shared" si="11"/>
        <v>48</v>
      </c>
      <c r="B60" s="401">
        <f t="shared" si="11"/>
        <v>46148</v>
      </c>
      <c r="C60" s="461"/>
      <c r="D60" s="461"/>
      <c r="E60" s="461"/>
      <c r="F60" s="461"/>
      <c r="G60" s="461"/>
      <c r="H60" s="461"/>
      <c r="I60" s="461"/>
      <c r="J60" s="461"/>
      <c r="K60" s="461"/>
      <c r="L60" s="461"/>
      <c r="M60" s="461"/>
      <c r="N60" s="402"/>
      <c r="O60" s="110">
        <f t="shared" si="2"/>
        <v>94000</v>
      </c>
      <c r="P60" s="99"/>
      <c r="Q60" s="99"/>
      <c r="R60" s="135">
        <v>0</v>
      </c>
      <c r="S60" s="102">
        <f>('Consumption Guide'!G55*Z60)/1000</f>
        <v>15756</v>
      </c>
      <c r="T60" s="225">
        <f t="shared" si="0"/>
        <v>-330119.99999999994</v>
      </c>
      <c r="U60" s="103">
        <f t="shared" si="5"/>
        <v>0</v>
      </c>
      <c r="V60" s="138"/>
      <c r="W60" s="99"/>
      <c r="X60" s="118"/>
      <c r="Y60" s="289"/>
      <c r="Z60" s="113">
        <f t="shared" si="10"/>
        <v>80800</v>
      </c>
      <c r="AA60" s="136"/>
      <c r="AB60" s="102"/>
      <c r="AC60" s="107">
        <f t="shared" si="6"/>
        <v>0</v>
      </c>
      <c r="AD60" s="108"/>
      <c r="AE60" s="109"/>
      <c r="AF60" s="108"/>
      <c r="AG60" s="91"/>
      <c r="AH60" s="92"/>
    </row>
    <row r="61" spans="1:34" s="124" customFormat="1" x14ac:dyDescent="0.25">
      <c r="A61" s="124">
        <f t="shared" si="11"/>
        <v>49</v>
      </c>
      <c r="B61" s="401">
        <f t="shared" si="11"/>
        <v>46149</v>
      </c>
      <c r="C61" s="461"/>
      <c r="D61" s="461"/>
      <c r="E61" s="461"/>
      <c r="F61" s="461"/>
      <c r="G61" s="461"/>
      <c r="H61" s="461"/>
      <c r="I61" s="461"/>
      <c r="J61" s="461"/>
      <c r="K61" s="461"/>
      <c r="L61" s="461"/>
      <c r="M61" s="461"/>
      <c r="N61" s="402"/>
      <c r="O61" s="110">
        <f>O60+P61</f>
        <v>94000</v>
      </c>
      <c r="P61" s="99"/>
      <c r="Q61" s="99"/>
      <c r="R61" s="135">
        <v>0</v>
      </c>
      <c r="S61" s="102">
        <f>('Consumption Guide'!G56*Z61)/1000</f>
        <v>15836.8</v>
      </c>
      <c r="T61" s="102">
        <f>IF((U61&gt;0),(U61-S61+P61),(T60-S61+P61))</f>
        <v>-345956.79999999993</v>
      </c>
      <c r="U61" s="103">
        <v>0</v>
      </c>
      <c r="V61" s="138"/>
      <c r="W61" s="99"/>
      <c r="X61" s="118"/>
      <c r="Y61" s="289"/>
      <c r="Z61" s="113">
        <f>SUM(Z60-Y61)</f>
        <v>80800</v>
      </c>
      <c r="AA61" s="136"/>
      <c r="AB61" s="102"/>
      <c r="AC61" s="107">
        <f t="shared" si="6"/>
        <v>0</v>
      </c>
      <c r="AD61" s="108"/>
      <c r="AE61" s="109"/>
      <c r="AF61" s="108"/>
      <c r="AG61" s="127"/>
      <c r="AH61" s="128"/>
    </row>
    <row r="62" spans="1:34" s="124" customFormat="1" x14ac:dyDescent="0.25">
      <c r="A62" s="124">
        <f t="shared" si="11"/>
        <v>50</v>
      </c>
      <c r="B62" s="401">
        <f t="shared" si="11"/>
        <v>46150</v>
      </c>
      <c r="C62" s="461"/>
      <c r="D62" s="461"/>
      <c r="E62" s="461"/>
      <c r="F62" s="461"/>
      <c r="G62" s="461"/>
      <c r="H62" s="461"/>
      <c r="I62" s="461"/>
      <c r="J62" s="461"/>
      <c r="K62" s="461"/>
      <c r="L62" s="461"/>
      <c r="M62" s="461"/>
      <c r="N62" s="402"/>
      <c r="O62" s="110">
        <f t="shared" si="2"/>
        <v>94000</v>
      </c>
      <c r="P62" s="99"/>
      <c r="Q62" s="99"/>
      <c r="R62" s="135">
        <v>0</v>
      </c>
      <c r="S62" s="102">
        <f>('Consumption Guide'!G57*Z62)/1000</f>
        <v>15917.6</v>
      </c>
      <c r="T62" s="102">
        <f t="shared" si="0"/>
        <v>-361874.39999999991</v>
      </c>
      <c r="U62" s="103">
        <f t="shared" si="5"/>
        <v>0</v>
      </c>
      <c r="V62" s="138"/>
      <c r="W62" s="99"/>
      <c r="X62" s="118"/>
      <c r="Y62" s="290"/>
      <c r="Z62" s="113">
        <f>SUM(Z61-Y62)</f>
        <v>80800</v>
      </c>
      <c r="AA62" s="136"/>
      <c r="AB62" s="102"/>
      <c r="AC62" s="107">
        <f t="shared" si="6"/>
        <v>0</v>
      </c>
      <c r="AD62" s="108"/>
      <c r="AE62" s="109"/>
      <c r="AF62" s="108"/>
      <c r="AG62" s="127"/>
      <c r="AH62" s="128"/>
    </row>
    <row r="63" spans="1:34" s="124" customFormat="1" x14ac:dyDescent="0.25">
      <c r="A63" s="124">
        <f t="shared" ref="A63:B72" si="12">A62+1</f>
        <v>51</v>
      </c>
      <c r="B63" s="401">
        <f t="shared" si="12"/>
        <v>46151</v>
      </c>
      <c r="C63" s="461"/>
      <c r="D63" s="461"/>
      <c r="E63" s="461"/>
      <c r="F63" s="461"/>
      <c r="G63" s="461"/>
      <c r="H63" s="461"/>
      <c r="I63" s="461"/>
      <c r="J63" s="461"/>
      <c r="K63" s="461"/>
      <c r="L63" s="461"/>
      <c r="M63" s="461"/>
      <c r="N63" s="402"/>
      <c r="O63" s="110">
        <f t="shared" si="2"/>
        <v>94000</v>
      </c>
      <c r="P63" s="99"/>
      <c r="Q63" s="99"/>
      <c r="R63" s="135">
        <v>0</v>
      </c>
      <c r="S63" s="102">
        <f>('Consumption Guide'!G58*Z63)/1000</f>
        <v>15917.6</v>
      </c>
      <c r="T63" s="102">
        <f t="shared" si="0"/>
        <v>-377791.99999999988</v>
      </c>
      <c r="U63" s="103">
        <f>(V63+X63+W63)</f>
        <v>0</v>
      </c>
      <c r="V63" s="138"/>
      <c r="W63" s="99"/>
      <c r="X63" s="118"/>
      <c r="Y63" s="283"/>
      <c r="Z63" s="113">
        <f t="shared" si="10"/>
        <v>80800</v>
      </c>
      <c r="AA63" s="143"/>
      <c r="AB63" s="102"/>
      <c r="AC63" s="107">
        <f t="shared" si="6"/>
        <v>0</v>
      </c>
      <c r="AD63" s="108"/>
      <c r="AE63" s="109"/>
      <c r="AF63" s="109"/>
      <c r="AG63" s="127"/>
      <c r="AH63" s="128"/>
    </row>
    <row r="64" spans="1:34" s="124" customFormat="1" x14ac:dyDescent="0.25">
      <c r="A64" s="124">
        <f t="shared" si="12"/>
        <v>52</v>
      </c>
      <c r="B64" s="401">
        <f t="shared" si="12"/>
        <v>46152</v>
      </c>
      <c r="C64" s="461"/>
      <c r="D64" s="461"/>
      <c r="E64" s="461"/>
      <c r="F64" s="461"/>
      <c r="G64" s="461"/>
      <c r="H64" s="461"/>
      <c r="I64" s="461"/>
      <c r="J64" s="461"/>
      <c r="K64" s="461"/>
      <c r="L64" s="461"/>
      <c r="M64" s="461"/>
      <c r="N64" s="402"/>
      <c r="O64" s="110">
        <f t="shared" si="2"/>
        <v>94000</v>
      </c>
      <c r="P64" s="99"/>
      <c r="Q64" s="99"/>
      <c r="R64" s="135">
        <v>0</v>
      </c>
      <c r="S64" s="102">
        <f>('Consumption Guide'!G59*Z64)/1000</f>
        <v>15917.6</v>
      </c>
      <c r="T64" s="225">
        <f t="shared" si="0"/>
        <v>-393709.59999999986</v>
      </c>
      <c r="U64" s="103">
        <f>(V64+X64+W64)</f>
        <v>0</v>
      </c>
      <c r="V64" s="138"/>
      <c r="W64" s="99"/>
      <c r="X64" s="119"/>
      <c r="Y64" s="283"/>
      <c r="Z64" s="113">
        <f t="shared" si="10"/>
        <v>80800</v>
      </c>
      <c r="AA64" s="136"/>
      <c r="AB64" s="102"/>
      <c r="AC64" s="107">
        <f t="shared" si="6"/>
        <v>0</v>
      </c>
      <c r="AD64" s="108"/>
      <c r="AE64" s="109"/>
      <c r="AF64" s="144"/>
      <c r="AG64" s="127"/>
      <c r="AH64" s="128"/>
    </row>
    <row r="65" spans="1:34" s="124" customFormat="1" x14ac:dyDescent="0.25">
      <c r="A65" s="124">
        <f t="shared" si="12"/>
        <v>53</v>
      </c>
      <c r="B65" s="401">
        <f t="shared" si="12"/>
        <v>46153</v>
      </c>
      <c r="C65" s="461"/>
      <c r="D65" s="461"/>
      <c r="E65" s="461"/>
      <c r="F65" s="461"/>
      <c r="G65" s="461"/>
      <c r="H65" s="461"/>
      <c r="I65" s="461"/>
      <c r="J65" s="461"/>
      <c r="K65" s="461"/>
      <c r="L65" s="461"/>
      <c r="M65" s="461"/>
      <c r="N65" s="402"/>
      <c r="O65" s="110">
        <f t="shared" si="2"/>
        <v>94000</v>
      </c>
      <c r="P65" s="99"/>
      <c r="Q65" s="99"/>
      <c r="R65" s="135">
        <v>0</v>
      </c>
      <c r="S65" s="102">
        <f>('Consumption Guide'!G60*Z65)/1000</f>
        <v>15998.4</v>
      </c>
      <c r="T65" s="102">
        <f t="shared" si="0"/>
        <v>-409707.99999999988</v>
      </c>
      <c r="U65" s="103">
        <f>(V65+X65+W65)</f>
        <v>0</v>
      </c>
      <c r="V65" s="138"/>
      <c r="W65" s="99"/>
      <c r="X65" s="119"/>
      <c r="Y65" s="283"/>
      <c r="Z65" s="113">
        <f t="shared" si="10"/>
        <v>80800</v>
      </c>
      <c r="AA65" s="136"/>
      <c r="AB65" s="102"/>
      <c r="AC65" s="107">
        <f t="shared" si="6"/>
        <v>0</v>
      </c>
      <c r="AD65" s="108"/>
      <c r="AE65" s="109"/>
      <c r="AF65" s="109"/>
      <c r="AG65" s="127"/>
      <c r="AH65" s="128"/>
    </row>
    <row r="66" spans="1:34" s="124" customFormat="1" x14ac:dyDescent="0.25">
      <c r="A66" s="124">
        <f t="shared" si="12"/>
        <v>54</v>
      </c>
      <c r="B66" s="401">
        <f t="shared" si="12"/>
        <v>46154</v>
      </c>
      <c r="C66" s="461"/>
      <c r="D66" s="461"/>
      <c r="E66" s="461"/>
      <c r="F66" s="461"/>
      <c r="G66" s="461"/>
      <c r="H66" s="461"/>
      <c r="I66" s="461"/>
      <c r="J66" s="461"/>
      <c r="K66" s="461"/>
      <c r="L66" s="461"/>
      <c r="M66" s="461"/>
      <c r="N66" s="402"/>
      <c r="O66" s="110">
        <f t="shared" si="2"/>
        <v>94000</v>
      </c>
      <c r="P66" s="99"/>
      <c r="Q66" s="99"/>
      <c r="R66" s="135">
        <v>0</v>
      </c>
      <c r="S66" s="102">
        <f>('Consumption Guide'!G61*Z66)/1000</f>
        <v>15917.6</v>
      </c>
      <c r="T66" s="225">
        <f t="shared" si="0"/>
        <v>-425625.59999999986</v>
      </c>
      <c r="U66" s="103">
        <f>(V66+X66+W66)</f>
        <v>0</v>
      </c>
      <c r="V66" s="138"/>
      <c r="W66" s="99"/>
      <c r="X66" s="119"/>
      <c r="Y66" s="283"/>
      <c r="Z66" s="113">
        <f t="shared" si="10"/>
        <v>80800</v>
      </c>
      <c r="AA66" s="173"/>
      <c r="AB66" s="102"/>
      <c r="AC66" s="107">
        <f t="shared" si="6"/>
        <v>0</v>
      </c>
      <c r="AD66" s="108"/>
      <c r="AE66" s="109"/>
      <c r="AF66" s="109"/>
      <c r="AG66" s="127"/>
      <c r="AH66" s="128"/>
    </row>
    <row r="67" spans="1:34" s="124" customFormat="1" x14ac:dyDescent="0.25">
      <c r="A67" s="124">
        <f t="shared" si="12"/>
        <v>55</v>
      </c>
      <c r="B67" s="401">
        <f t="shared" si="12"/>
        <v>46155</v>
      </c>
      <c r="C67" s="461"/>
      <c r="D67" s="461"/>
      <c r="E67" s="461"/>
      <c r="F67" s="461"/>
      <c r="G67" s="461"/>
      <c r="H67" s="461"/>
      <c r="I67" s="461"/>
      <c r="J67" s="461"/>
      <c r="K67" s="461"/>
      <c r="L67" s="461"/>
      <c r="M67" s="461"/>
      <c r="N67" s="402"/>
      <c r="O67" s="110">
        <f t="shared" si="2"/>
        <v>94000</v>
      </c>
      <c r="P67" s="99"/>
      <c r="Q67" s="99"/>
      <c r="R67" s="135">
        <v>0</v>
      </c>
      <c r="S67" s="102">
        <f>('Consumption Guide'!G62*Z67)/1000</f>
        <v>15998.4</v>
      </c>
      <c r="T67" s="225">
        <f t="shared" si="0"/>
        <v>-441623.99999999988</v>
      </c>
      <c r="U67" s="103">
        <f t="shared" si="5"/>
        <v>0</v>
      </c>
      <c r="V67" s="138"/>
      <c r="W67" s="99"/>
      <c r="X67" s="119"/>
      <c r="Y67" s="283"/>
      <c r="Z67" s="113">
        <f t="shared" si="10"/>
        <v>80800</v>
      </c>
      <c r="AA67" s="136"/>
      <c r="AB67" s="102"/>
      <c r="AC67" s="107">
        <f t="shared" si="6"/>
        <v>0</v>
      </c>
      <c r="AD67" s="108"/>
      <c r="AE67" s="109"/>
      <c r="AF67" s="109"/>
      <c r="AG67" s="127"/>
      <c r="AH67" s="128"/>
    </row>
    <row r="68" spans="1:34" x14ac:dyDescent="0.25">
      <c r="A68" s="25">
        <f t="shared" si="12"/>
        <v>56</v>
      </c>
      <c r="B68" s="401">
        <f t="shared" si="12"/>
        <v>46156</v>
      </c>
      <c r="C68" s="461"/>
      <c r="D68" s="461"/>
      <c r="E68" s="461"/>
      <c r="F68" s="461"/>
      <c r="G68" s="461"/>
      <c r="H68" s="461"/>
      <c r="I68" s="461"/>
      <c r="J68" s="461"/>
      <c r="K68" s="461"/>
      <c r="L68" s="461"/>
      <c r="M68" s="461"/>
      <c r="N68" s="402"/>
      <c r="O68" s="110">
        <f t="shared" si="2"/>
        <v>94000</v>
      </c>
      <c r="P68" s="99"/>
      <c r="Q68" s="99"/>
      <c r="R68" s="135">
        <v>0</v>
      </c>
      <c r="S68" s="102">
        <f>('Consumption Guide'!G63*Z68)/1000</f>
        <v>15917.6</v>
      </c>
      <c r="T68" s="225">
        <f t="shared" si="0"/>
        <v>-457541.59999999986</v>
      </c>
      <c r="U68" s="103">
        <f t="shared" si="5"/>
        <v>0</v>
      </c>
      <c r="V68" s="145"/>
      <c r="W68" s="97"/>
      <c r="X68" s="119"/>
      <c r="Y68" s="282"/>
      <c r="Z68" s="113">
        <f t="shared" si="10"/>
        <v>80800</v>
      </c>
      <c r="AA68" s="136"/>
      <c r="AB68" s="102"/>
      <c r="AC68" s="107">
        <f t="shared" si="6"/>
        <v>0</v>
      </c>
      <c r="AD68" s="108"/>
      <c r="AE68" s="109"/>
      <c r="AF68" s="109"/>
      <c r="AG68" s="91"/>
      <c r="AH68" s="92"/>
    </row>
    <row r="69" spans="1:34" s="124" customFormat="1" x14ac:dyDescent="0.25">
      <c r="A69" s="124">
        <f t="shared" si="12"/>
        <v>57</v>
      </c>
      <c r="B69" s="401">
        <f t="shared" si="12"/>
        <v>46157</v>
      </c>
      <c r="C69" s="461"/>
      <c r="D69" s="461"/>
      <c r="E69" s="461"/>
      <c r="F69" s="461"/>
      <c r="G69" s="461"/>
      <c r="H69" s="461"/>
      <c r="I69" s="461"/>
      <c r="J69" s="461"/>
      <c r="K69" s="461"/>
      <c r="L69" s="461"/>
      <c r="M69" s="461"/>
      <c r="N69" s="402"/>
      <c r="O69" s="110">
        <f t="shared" si="2"/>
        <v>94000</v>
      </c>
      <c r="P69" s="99"/>
      <c r="Q69" s="99"/>
      <c r="R69" s="135">
        <f>R68-P69</f>
        <v>0</v>
      </c>
      <c r="S69" s="102">
        <f>('Consumption Guide'!G64*Z69)/1000</f>
        <v>15756</v>
      </c>
      <c r="T69" s="225">
        <f t="shared" si="0"/>
        <v>-473297.59999999986</v>
      </c>
      <c r="U69" s="103">
        <f t="shared" si="5"/>
        <v>0</v>
      </c>
      <c r="V69" s="145"/>
      <c r="W69" s="97"/>
      <c r="X69" s="119"/>
      <c r="Y69" s="282"/>
      <c r="Z69" s="113">
        <f t="shared" si="10"/>
        <v>80800</v>
      </c>
      <c r="AA69" s="136"/>
      <c r="AB69" s="102"/>
      <c r="AC69" s="107">
        <f t="shared" si="6"/>
        <v>0</v>
      </c>
      <c r="AD69" s="108"/>
      <c r="AE69" s="109"/>
      <c r="AF69" s="109"/>
      <c r="AG69" s="127"/>
      <c r="AH69" s="128"/>
    </row>
    <row r="70" spans="1:34" x14ac:dyDescent="0.25">
      <c r="A70" s="25">
        <f t="shared" si="12"/>
        <v>58</v>
      </c>
      <c r="B70" s="401">
        <f t="shared" si="12"/>
        <v>46158</v>
      </c>
      <c r="C70" s="461"/>
      <c r="D70" s="461"/>
      <c r="E70" s="461"/>
      <c r="F70" s="461"/>
      <c r="G70" s="461"/>
      <c r="H70" s="461"/>
      <c r="I70" s="461"/>
      <c r="J70" s="461"/>
      <c r="K70" s="461"/>
      <c r="L70" s="461"/>
      <c r="M70" s="461"/>
      <c r="N70" s="402"/>
      <c r="O70" s="110">
        <f t="shared" si="2"/>
        <v>94000</v>
      </c>
      <c r="P70" s="99"/>
      <c r="Q70" s="99"/>
      <c r="R70" s="135">
        <f>R69-P70</f>
        <v>0</v>
      </c>
      <c r="S70" s="102">
        <f>('Consumption Guide'!G65*Z70)/1000</f>
        <v>15756</v>
      </c>
      <c r="T70" s="225">
        <f t="shared" si="0"/>
        <v>-489053.59999999986</v>
      </c>
      <c r="U70" s="103">
        <v>0</v>
      </c>
      <c r="V70" s="146"/>
      <c r="W70" s="147"/>
      <c r="X70" s="148"/>
      <c r="Y70" s="282"/>
      <c r="Z70" s="102">
        <f t="shared" si="10"/>
        <v>80800</v>
      </c>
      <c r="AA70" s="107"/>
      <c r="AB70" s="102"/>
      <c r="AC70" s="107">
        <f t="shared" si="6"/>
        <v>0</v>
      </c>
      <c r="AD70" s="108"/>
      <c r="AE70" s="109"/>
      <c r="AF70" s="109"/>
      <c r="AG70" s="91"/>
      <c r="AH70" s="23"/>
    </row>
    <row r="71" spans="1:34" x14ac:dyDescent="0.25">
      <c r="A71" s="25">
        <f t="shared" si="12"/>
        <v>59</v>
      </c>
      <c r="B71" s="401">
        <f t="shared" si="12"/>
        <v>46159</v>
      </c>
      <c r="C71" s="461"/>
      <c r="D71" s="461"/>
      <c r="E71" s="461"/>
      <c r="F71" s="461"/>
      <c r="G71" s="461"/>
      <c r="H71" s="461"/>
      <c r="I71" s="461"/>
      <c r="J71" s="461"/>
      <c r="K71" s="461"/>
      <c r="L71" s="461"/>
      <c r="M71" s="461"/>
      <c r="N71" s="402"/>
      <c r="O71" s="110">
        <f t="shared" si="2"/>
        <v>94000</v>
      </c>
      <c r="P71" s="99"/>
      <c r="Q71" s="99"/>
      <c r="R71" s="99"/>
      <c r="S71" s="102">
        <f>('Consumption Guide'!G66*Z71)/1000</f>
        <v>15756</v>
      </c>
      <c r="T71" s="225">
        <f t="shared" si="0"/>
        <v>-504809.59999999986</v>
      </c>
      <c r="U71" s="103">
        <f t="shared" si="5"/>
        <v>0</v>
      </c>
      <c r="V71" s="146"/>
      <c r="W71" s="147"/>
      <c r="X71" s="148"/>
      <c r="Y71" s="282"/>
      <c r="Z71" s="102">
        <f t="shared" si="10"/>
        <v>80800</v>
      </c>
      <c r="AA71" s="136"/>
      <c r="AB71" s="102"/>
      <c r="AC71" s="107">
        <f t="shared" si="6"/>
        <v>0</v>
      </c>
      <c r="AD71" s="108"/>
      <c r="AE71" s="109"/>
      <c r="AF71" s="109"/>
      <c r="AG71" s="91"/>
      <c r="AH71" s="23"/>
    </row>
    <row r="72" spans="1:34" ht="23.25" thickBot="1" x14ac:dyDescent="0.3">
      <c r="A72" s="25">
        <f t="shared" si="12"/>
        <v>60</v>
      </c>
      <c r="B72" s="403"/>
      <c r="C72" s="462"/>
      <c r="D72" s="462"/>
      <c r="E72" s="462"/>
      <c r="F72" s="462"/>
      <c r="G72" s="462"/>
      <c r="H72" s="462"/>
      <c r="I72" s="462"/>
      <c r="J72" s="462"/>
      <c r="K72" s="462"/>
      <c r="L72" s="462"/>
      <c r="M72" s="462"/>
      <c r="N72" s="404"/>
      <c r="O72" s="149">
        <f t="shared" si="2"/>
        <v>94000</v>
      </c>
      <c r="P72" s="150"/>
      <c r="Q72" s="150"/>
      <c r="R72" s="150"/>
      <c r="S72" s="151">
        <f>('Consumption Guide'!G67*Z72)/1000</f>
        <v>15756</v>
      </c>
      <c r="T72" s="227">
        <f t="shared" si="0"/>
        <v>-520565.59999999986</v>
      </c>
      <c r="U72" s="152">
        <f t="shared" si="5"/>
        <v>0</v>
      </c>
      <c r="V72" s="153"/>
      <c r="W72" s="154"/>
      <c r="X72" s="155"/>
      <c r="Y72" s="291"/>
      <c r="Z72" s="151">
        <f t="shared" si="10"/>
        <v>80800</v>
      </c>
      <c r="AA72" s="157"/>
      <c r="AB72" s="158"/>
      <c r="AC72" s="107">
        <f t="shared" si="6"/>
        <v>0</v>
      </c>
      <c r="AD72" s="108"/>
      <c r="AE72" s="109"/>
      <c r="AF72" s="109"/>
      <c r="AG72" s="91"/>
      <c r="AH72" s="23"/>
    </row>
    <row r="73" spans="1:34" x14ac:dyDescent="0.25">
      <c r="A73" s="83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60"/>
      <c r="O73" s="78"/>
      <c r="P73" s="78"/>
      <c r="Q73" s="78"/>
      <c r="R73" s="78"/>
      <c r="S73" s="66"/>
      <c r="T73" s="66"/>
      <c r="U73" s="161"/>
      <c r="V73" s="405" t="s">
        <v>50</v>
      </c>
      <c r="W73" s="406"/>
      <c r="X73" s="407"/>
      <c r="Y73" s="42">
        <f>Y51</f>
        <v>0</v>
      </c>
      <c r="Z73" s="66"/>
      <c r="AA73" s="67"/>
      <c r="AB73" s="39"/>
      <c r="AC73" s="39"/>
      <c r="AD73" s="162"/>
      <c r="AE73" s="90"/>
      <c r="AF73" s="89"/>
      <c r="AG73" s="91"/>
    </row>
    <row r="74" spans="1:34" x14ac:dyDescent="0.25"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4"/>
      <c r="O74" s="19"/>
      <c r="P74" s="19"/>
      <c r="Q74" s="19"/>
      <c r="R74" s="19"/>
      <c r="S74" s="39"/>
      <c r="T74" s="39"/>
      <c r="U74" s="17"/>
      <c r="V74" s="408" t="s">
        <v>51</v>
      </c>
      <c r="W74" s="409"/>
      <c r="X74" s="410"/>
      <c r="Y74" s="165">
        <f>Y44+Y46+Y47+Y54+Y55+Y63+Y64</f>
        <v>0</v>
      </c>
      <c r="Z74" s="39"/>
      <c r="AA74" s="29"/>
      <c r="AB74" s="39"/>
      <c r="AC74" s="39"/>
      <c r="AD74" s="89"/>
      <c r="AE74" s="90"/>
      <c r="AF74" s="89"/>
      <c r="AG74" s="91"/>
    </row>
    <row r="75" spans="1:34" x14ac:dyDescent="0.25"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411" t="s">
        <v>45</v>
      </c>
      <c r="O75" s="412"/>
      <c r="P75" s="166">
        <f>SUM(P12:P72)</f>
        <v>94000</v>
      </c>
      <c r="Q75" s="19"/>
      <c r="R75" s="19">
        <f>SUM(P47:P65)</f>
        <v>0</v>
      </c>
      <c r="S75" s="39"/>
      <c r="T75" s="39"/>
      <c r="U75" s="17"/>
      <c r="V75" s="161"/>
      <c r="W75" s="161"/>
      <c r="X75" s="161"/>
      <c r="Y75" s="17"/>
      <c r="Z75" s="39"/>
      <c r="AA75" s="29"/>
      <c r="AB75" s="39"/>
      <c r="AC75" s="39"/>
      <c r="AD75" s="89"/>
      <c r="AE75" s="90"/>
      <c r="AF75" s="89"/>
      <c r="AG75" s="91"/>
    </row>
    <row r="76" spans="1:34" x14ac:dyDescent="0.25"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4"/>
      <c r="O76" s="19"/>
      <c r="P76" s="19"/>
      <c r="Q76" s="19"/>
      <c r="R76" s="19"/>
      <c r="S76" s="39"/>
      <c r="T76" s="39"/>
      <c r="U76" s="17"/>
      <c r="V76" s="17"/>
      <c r="W76" s="17"/>
      <c r="X76" s="17"/>
      <c r="Y76" s="17"/>
      <c r="Z76" s="39"/>
      <c r="AA76" s="29"/>
      <c r="AB76" s="39"/>
      <c r="AC76" s="39"/>
      <c r="AD76" s="89"/>
      <c r="AE76" s="90"/>
      <c r="AF76" s="89"/>
      <c r="AG76" s="91"/>
    </row>
    <row r="77" spans="1:34" x14ac:dyDescent="0.25"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4"/>
      <c r="O77" s="167">
        <f>P75/N2</f>
        <v>1.1633663366336633</v>
      </c>
      <c r="P77" s="168" t="s">
        <v>46</v>
      </c>
      <c r="Q77" s="19"/>
      <c r="R77" s="19"/>
      <c r="S77" s="39"/>
      <c r="T77" s="39"/>
      <c r="U77" s="17"/>
      <c r="V77" s="17"/>
      <c r="W77" s="17"/>
      <c r="X77" s="17"/>
      <c r="Y77" s="17"/>
      <c r="Z77" s="39"/>
      <c r="AA77" s="29"/>
      <c r="AB77" s="39"/>
      <c r="AC77" s="39"/>
      <c r="AD77" s="89"/>
      <c r="AE77" s="90"/>
      <c r="AF77" s="89"/>
      <c r="AG77" s="91"/>
    </row>
    <row r="78" spans="1:34" x14ac:dyDescent="0.25"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4"/>
      <c r="O78" s="19"/>
      <c r="P78" s="19"/>
      <c r="Q78" s="19"/>
      <c r="R78" s="19"/>
      <c r="S78" s="39"/>
      <c r="T78" s="39"/>
      <c r="U78" s="17"/>
      <c r="V78" s="17"/>
      <c r="W78" s="17"/>
      <c r="X78" s="17"/>
      <c r="Y78" s="17"/>
      <c r="Z78" s="39">
        <f>Y33+Y51</f>
        <v>0</v>
      </c>
      <c r="AA78" s="29"/>
      <c r="AB78" s="39"/>
      <c r="AC78" s="17"/>
      <c r="AD78" s="89"/>
      <c r="AE78" s="90"/>
      <c r="AF78" s="89"/>
      <c r="AG78" s="91"/>
    </row>
  </sheetData>
  <mergeCells count="65">
    <mergeCell ref="B22:N22"/>
    <mergeCell ref="U3:X3"/>
    <mergeCell ref="U4:X4"/>
    <mergeCell ref="B13:N13"/>
    <mergeCell ref="B14:N14"/>
    <mergeCell ref="B15:N15"/>
    <mergeCell ref="B16:N16"/>
    <mergeCell ref="B17:N17"/>
    <mergeCell ref="B18:N18"/>
    <mergeCell ref="B19:N19"/>
    <mergeCell ref="B20:N20"/>
    <mergeCell ref="B21:N21"/>
    <mergeCell ref="B34:N34"/>
    <mergeCell ref="B23:N23"/>
    <mergeCell ref="B24:N24"/>
    <mergeCell ref="B25:N25"/>
    <mergeCell ref="B26:N26"/>
    <mergeCell ref="B27:N27"/>
    <mergeCell ref="B28:N28"/>
    <mergeCell ref="B29:N29"/>
    <mergeCell ref="B30:N30"/>
    <mergeCell ref="B31:N31"/>
    <mergeCell ref="B32:N32"/>
    <mergeCell ref="B33:N33"/>
    <mergeCell ref="B46:N46"/>
    <mergeCell ref="B35:N35"/>
    <mergeCell ref="B36:N36"/>
    <mergeCell ref="B37:N37"/>
    <mergeCell ref="B38:N38"/>
    <mergeCell ref="B39:N39"/>
    <mergeCell ref="B40:N40"/>
    <mergeCell ref="B41:N41"/>
    <mergeCell ref="B42:N42"/>
    <mergeCell ref="B43:N43"/>
    <mergeCell ref="B44:N44"/>
    <mergeCell ref="B45:N45"/>
    <mergeCell ref="B58:N58"/>
    <mergeCell ref="B47:N47"/>
    <mergeCell ref="B48:N48"/>
    <mergeCell ref="B49:N49"/>
    <mergeCell ref="B50:N50"/>
    <mergeCell ref="B51:N51"/>
    <mergeCell ref="B52:N52"/>
    <mergeCell ref="B53:N53"/>
    <mergeCell ref="B54:N54"/>
    <mergeCell ref="B55:N55"/>
    <mergeCell ref="B56:N56"/>
    <mergeCell ref="B57:N57"/>
    <mergeCell ref="B70:N70"/>
    <mergeCell ref="B59:N59"/>
    <mergeCell ref="B60:N60"/>
    <mergeCell ref="B61:N61"/>
    <mergeCell ref="B62:N62"/>
    <mergeCell ref="B63:N63"/>
    <mergeCell ref="B64:N64"/>
    <mergeCell ref="B65:N65"/>
    <mergeCell ref="B66:N66"/>
    <mergeCell ref="B67:N67"/>
    <mergeCell ref="B68:N68"/>
    <mergeCell ref="B69:N69"/>
    <mergeCell ref="B71:N71"/>
    <mergeCell ref="B72:N72"/>
    <mergeCell ref="V73:X73"/>
    <mergeCell ref="V74:X74"/>
    <mergeCell ref="N75:O75"/>
  </mergeCells>
  <conditionalFormatting sqref="T13:T72">
    <cfRule type="expression" dxfId="5" priority="1">
      <formula>$T13:$T72&lt;0.001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DF4A-3374-4F11-9AD9-6647CE24D9C3}">
  <sheetPr>
    <tabColor rgb="FF00B0F0"/>
  </sheetPr>
  <dimension ref="A1:AN78"/>
  <sheetViews>
    <sheetView topLeftCell="D1" zoomScale="70" zoomScaleNormal="70" workbookViewId="0">
      <pane ySplit="10" topLeftCell="D24" activePane="bottomLeft" state="frozen"/>
      <selection activeCell="K39" sqref="K39:K40"/>
      <selection pane="bottomLeft" activeCell="E23" sqref="E23"/>
    </sheetView>
  </sheetViews>
  <sheetFormatPr defaultColWidth="14.6953125" defaultRowHeight="22.5" x14ac:dyDescent="0.25"/>
  <cols>
    <col min="1" max="1" width="5.52734375" style="25" customWidth="1"/>
    <col min="2" max="2" width="16.5859375" style="25" customWidth="1"/>
    <col min="3" max="3" width="38.43359375" style="25" customWidth="1"/>
    <col min="4" max="4" width="14.5625" style="57" customWidth="1"/>
    <col min="5" max="5" width="17.6640625" style="57" customWidth="1"/>
    <col min="6" max="6" width="10.11328125" style="57" customWidth="1"/>
    <col min="7" max="7" width="14.5625" style="57" customWidth="1"/>
    <col min="8" max="8" width="14.5625" style="25" customWidth="1"/>
    <col min="9" max="9" width="14.29296875" style="25" customWidth="1"/>
    <col min="10" max="10" width="12.40625" style="25" customWidth="1"/>
    <col min="11" max="11" width="11.59375" style="25" customWidth="1"/>
    <col min="12" max="12" width="12.13671875" style="25" customWidth="1"/>
    <col min="13" max="13" width="11.4609375" style="25" customWidth="1"/>
    <col min="14" max="14" width="16.1796875" style="25" customWidth="1"/>
    <col min="15" max="15" width="11.0546875" style="25" customWidth="1"/>
    <col min="16" max="16" width="8.359375" style="169" customWidth="1"/>
    <col min="17" max="17" width="9.4375" style="25" bestFit="1" customWidth="1"/>
    <col min="18" max="18" width="16.98828125" style="25" customWidth="1"/>
    <col min="19" max="19" width="15.37109375" style="24" bestFit="1" customWidth="1"/>
    <col min="20" max="20" width="12.67578125" style="23" customWidth="1"/>
    <col min="21" max="21" width="15.37109375" style="24" bestFit="1" customWidth="1"/>
    <col min="22" max="22" width="12.5390625" style="23" customWidth="1"/>
    <col min="23" max="23" width="11.59375" style="24" customWidth="1"/>
    <col min="24" max="16384" width="14.6953125" style="25"/>
  </cols>
  <sheetData>
    <row r="1" spans="1:40" x14ac:dyDescent="0.25">
      <c r="A1" s="17" t="s">
        <v>28</v>
      </c>
      <c r="B1" s="17"/>
      <c r="C1" s="18" t="s">
        <v>91</v>
      </c>
      <c r="D1" s="19"/>
      <c r="E1" s="19" t="s">
        <v>0</v>
      </c>
      <c r="F1" s="19"/>
      <c r="G1" s="223" t="s">
        <v>73</v>
      </c>
      <c r="H1" s="19"/>
      <c r="I1" s="19"/>
      <c r="J1" s="17"/>
      <c r="K1" s="17"/>
      <c r="L1" s="17"/>
      <c r="M1" s="17"/>
      <c r="N1" s="17"/>
      <c r="O1" s="17"/>
      <c r="P1" s="20"/>
      <c r="Q1" s="17"/>
      <c r="R1" s="17"/>
      <c r="S1" s="21"/>
      <c r="T1" s="22"/>
      <c r="U1" s="21"/>
    </row>
    <row r="2" spans="1:40" ht="21.2" customHeight="1" x14ac:dyDescent="0.25">
      <c r="A2" s="17" t="s">
        <v>29</v>
      </c>
      <c r="B2" s="17"/>
      <c r="C2" s="19">
        <v>80000</v>
      </c>
      <c r="D2" s="19"/>
      <c r="E2" s="19"/>
      <c r="F2" s="19"/>
      <c r="G2" s="26" t="s">
        <v>30</v>
      </c>
      <c r="H2" s="27">
        <f>(C2*0.325)</f>
        <v>26000</v>
      </c>
      <c r="I2" s="28" t="s">
        <v>31</v>
      </c>
      <c r="J2" s="17"/>
      <c r="K2" s="17"/>
      <c r="L2" s="17"/>
      <c r="M2" s="17"/>
      <c r="N2" s="17"/>
      <c r="O2" s="17"/>
      <c r="P2" s="29"/>
      <c r="Q2" s="17"/>
      <c r="R2" s="29"/>
      <c r="S2" s="21"/>
      <c r="T2" s="22"/>
      <c r="U2" s="21"/>
    </row>
    <row r="3" spans="1:40" ht="22.15" customHeight="1" x14ac:dyDescent="0.25">
      <c r="A3" s="17" t="s">
        <v>32</v>
      </c>
      <c r="B3" s="17"/>
      <c r="C3" s="30">
        <v>46101</v>
      </c>
      <c r="D3" s="19"/>
      <c r="E3" s="19"/>
      <c r="F3" s="19"/>
      <c r="G3" s="31" t="s">
        <v>4</v>
      </c>
      <c r="H3" s="32">
        <f>(C2*1.15)</f>
        <v>92000</v>
      </c>
      <c r="I3" s="32" t="s">
        <v>31</v>
      </c>
      <c r="J3" s="413"/>
      <c r="K3" s="414"/>
      <c r="L3" s="414"/>
      <c r="M3" s="415"/>
      <c r="N3" s="33" t="s">
        <v>64</v>
      </c>
      <c r="O3" s="17"/>
      <c r="P3" s="29"/>
      <c r="Q3" s="17"/>
      <c r="R3" s="29"/>
      <c r="S3" s="21"/>
      <c r="T3" s="22"/>
      <c r="U3" s="21"/>
    </row>
    <row r="4" spans="1:40" ht="19.899999999999999" customHeight="1" x14ac:dyDescent="0.25">
      <c r="A4" s="17"/>
      <c r="B4" s="33" t="s">
        <v>64</v>
      </c>
      <c r="C4" s="34">
        <v>39543</v>
      </c>
      <c r="D4" s="35"/>
      <c r="E4" s="19"/>
      <c r="F4" s="19"/>
      <c r="G4" s="36" t="s">
        <v>11</v>
      </c>
      <c r="H4" s="37">
        <f>(C2*1.7)</f>
        <v>136000</v>
      </c>
      <c r="I4" s="37" t="s">
        <v>31</v>
      </c>
      <c r="J4" s="416" t="s">
        <v>58</v>
      </c>
      <c r="K4" s="417"/>
      <c r="L4" s="417"/>
      <c r="M4" s="418"/>
      <c r="N4" s="33" t="s">
        <v>65</v>
      </c>
      <c r="O4" s="17"/>
      <c r="P4" s="29"/>
      <c r="Q4" s="17"/>
      <c r="R4" s="17"/>
      <c r="S4" s="21"/>
      <c r="T4" s="22"/>
      <c r="U4" s="21"/>
    </row>
    <row r="5" spans="1:40" ht="19.149999999999999" customHeight="1" x14ac:dyDescent="0.25">
      <c r="A5" s="17"/>
      <c r="B5" s="33" t="s">
        <v>65</v>
      </c>
      <c r="C5" s="34">
        <v>40100</v>
      </c>
      <c r="D5" s="35"/>
      <c r="E5" s="19"/>
      <c r="F5" s="19"/>
      <c r="G5" s="19" t="s">
        <v>33</v>
      </c>
      <c r="H5" s="17">
        <f>C2*1.5</f>
        <v>120000</v>
      </c>
      <c r="I5" s="38" t="s">
        <v>31</v>
      </c>
      <c r="J5" s="17"/>
      <c r="K5" s="17"/>
      <c r="L5" s="17"/>
      <c r="M5" s="17"/>
      <c r="N5" s="39"/>
      <c r="O5" s="39"/>
      <c r="P5" s="29"/>
      <c r="Q5" s="39"/>
      <c r="R5" s="29"/>
      <c r="S5" s="21"/>
      <c r="T5" s="22"/>
      <c r="U5" s="21"/>
    </row>
    <row r="6" spans="1:40" ht="44.45" customHeight="1" x14ac:dyDescent="0.25">
      <c r="A6" s="17"/>
      <c r="B6" s="17"/>
      <c r="C6" s="40"/>
      <c r="D6" s="35"/>
      <c r="E6" s="19"/>
      <c r="F6" s="19"/>
      <c r="G6" s="19"/>
      <c r="H6" s="17"/>
      <c r="I6" s="41"/>
      <c r="J6" s="17"/>
      <c r="K6" s="17"/>
      <c r="L6" s="17"/>
      <c r="M6" s="17"/>
      <c r="N6" s="39"/>
      <c r="O6" s="39"/>
      <c r="P6" s="29"/>
      <c r="Q6" s="42"/>
      <c r="R6" s="43" t="s">
        <v>54</v>
      </c>
      <c r="S6" s="44" t="s">
        <v>56</v>
      </c>
      <c r="T6" s="45"/>
      <c r="U6" s="44" t="s">
        <v>56</v>
      </c>
      <c r="V6" s="45"/>
    </row>
    <row r="7" spans="1:40" x14ac:dyDescent="0.25">
      <c r="A7" s="17"/>
      <c r="B7" s="17"/>
      <c r="C7" s="17"/>
      <c r="D7" s="19" t="s">
        <v>26</v>
      </c>
      <c r="E7" s="19"/>
      <c r="F7" s="19"/>
      <c r="G7" s="19"/>
      <c r="H7" s="17"/>
      <c r="I7" s="17"/>
      <c r="J7" s="17"/>
      <c r="K7" s="19"/>
      <c r="L7" s="19"/>
      <c r="M7" s="19"/>
      <c r="N7" s="39"/>
      <c r="O7" s="39"/>
      <c r="P7" s="29"/>
      <c r="Q7" s="46" t="s">
        <v>18</v>
      </c>
      <c r="R7" s="43" t="s">
        <v>18</v>
      </c>
      <c r="S7" s="44" t="s">
        <v>57</v>
      </c>
      <c r="T7" s="45"/>
      <c r="U7" s="47" t="s">
        <v>57</v>
      </c>
      <c r="V7" s="45"/>
    </row>
    <row r="8" spans="1:40" s="57" customFormat="1" ht="42.75" thickBot="1" x14ac:dyDescent="0.3">
      <c r="A8" s="48" t="s">
        <v>15</v>
      </c>
      <c r="B8" s="48" t="s">
        <v>16</v>
      </c>
      <c r="C8" s="48" t="s">
        <v>17</v>
      </c>
      <c r="D8" s="48" t="s">
        <v>18</v>
      </c>
      <c r="E8" s="48" t="s">
        <v>34</v>
      </c>
      <c r="F8" s="48"/>
      <c r="G8" s="48" t="s">
        <v>18</v>
      </c>
      <c r="H8" s="48" t="s">
        <v>18</v>
      </c>
      <c r="I8" s="48" t="s">
        <v>18</v>
      </c>
      <c r="J8" s="48" t="s">
        <v>19</v>
      </c>
      <c r="K8" s="49" t="s">
        <v>20</v>
      </c>
      <c r="L8" s="49" t="s">
        <v>19</v>
      </c>
      <c r="M8" s="49" t="s">
        <v>19</v>
      </c>
      <c r="N8" s="48" t="s">
        <v>21</v>
      </c>
      <c r="O8" s="48" t="s">
        <v>22</v>
      </c>
      <c r="P8" s="50" t="s">
        <v>0</v>
      </c>
      <c r="Q8" s="51" t="s">
        <v>52</v>
      </c>
      <c r="R8" s="52" t="s">
        <v>55</v>
      </c>
      <c r="S8" s="53" t="s">
        <v>62</v>
      </c>
      <c r="T8" s="54" t="s">
        <v>59</v>
      </c>
      <c r="U8" s="55" t="s">
        <v>63</v>
      </c>
      <c r="V8" s="54" t="s">
        <v>59</v>
      </c>
      <c r="W8" s="24"/>
      <c r="X8" s="56"/>
      <c r="AA8" s="56"/>
      <c r="AB8" s="58"/>
      <c r="AD8" s="56"/>
      <c r="AE8" s="58"/>
      <c r="AF8" s="59"/>
      <c r="AG8" s="56"/>
      <c r="AH8" s="59"/>
      <c r="AI8" s="56"/>
      <c r="AJ8" s="59"/>
      <c r="AK8" s="59"/>
      <c r="AL8" s="59"/>
    </row>
    <row r="9" spans="1:40" s="73" customFormat="1" ht="21.2" customHeight="1" thickBot="1" x14ac:dyDescent="0.3">
      <c r="A9" s="60"/>
      <c r="B9" s="61"/>
      <c r="C9" s="62">
        <v>43297</v>
      </c>
      <c r="D9" s="61" t="s">
        <v>35</v>
      </c>
      <c r="E9" s="61" t="s">
        <v>36</v>
      </c>
      <c r="F9" s="61" t="s">
        <v>19</v>
      </c>
      <c r="G9" s="61" t="s">
        <v>23</v>
      </c>
      <c r="H9" s="61" t="s">
        <v>24</v>
      </c>
      <c r="I9" s="61" t="s">
        <v>25</v>
      </c>
      <c r="J9" s="61" t="s">
        <v>26</v>
      </c>
      <c r="K9" s="228" t="s">
        <v>37</v>
      </c>
      <c r="L9" s="61" t="s">
        <v>38</v>
      </c>
      <c r="M9" s="61" t="s">
        <v>39</v>
      </c>
      <c r="N9" s="63" t="s">
        <v>49</v>
      </c>
      <c r="O9" s="64" t="s">
        <v>27</v>
      </c>
      <c r="P9" s="65" t="s">
        <v>53</v>
      </c>
      <c r="Q9" s="66"/>
      <c r="R9" s="67"/>
      <c r="S9" s="68"/>
      <c r="T9" s="69"/>
      <c r="U9" s="68"/>
      <c r="V9" s="70"/>
      <c r="W9" s="71" t="s">
        <v>15</v>
      </c>
      <c r="X9" s="72"/>
      <c r="AA9" s="72"/>
      <c r="AB9" s="74"/>
      <c r="AD9" s="72"/>
      <c r="AE9" s="74"/>
      <c r="AF9" s="75"/>
      <c r="AG9" s="72"/>
      <c r="AH9" s="75"/>
      <c r="AI9" s="72"/>
      <c r="AJ9" s="75"/>
      <c r="AK9" s="75"/>
      <c r="AL9" s="75"/>
    </row>
    <row r="10" spans="1:40" s="83" customFormat="1" ht="15" hidden="1" customHeight="1" x14ac:dyDescent="0.25">
      <c r="A10" s="76"/>
      <c r="B10" s="77"/>
      <c r="C10" s="77"/>
      <c r="D10" s="78"/>
      <c r="E10" s="78"/>
      <c r="F10" s="78"/>
      <c r="G10" s="78"/>
      <c r="H10" s="77"/>
      <c r="I10" s="77"/>
      <c r="J10" s="77"/>
      <c r="K10" s="79"/>
      <c r="L10" s="79"/>
      <c r="M10" s="79"/>
      <c r="N10" s="66"/>
      <c r="O10" s="66"/>
      <c r="P10" s="67"/>
      <c r="Q10" s="39"/>
      <c r="R10" s="29"/>
      <c r="S10" s="80"/>
      <c r="T10" s="22"/>
      <c r="U10" s="80"/>
      <c r="V10" s="81"/>
      <c r="W10" s="82"/>
    </row>
    <row r="11" spans="1:40" x14ac:dyDescent="0.25">
      <c r="B11" s="17"/>
      <c r="C11" s="84"/>
      <c r="D11" s="19"/>
      <c r="E11" s="85"/>
      <c r="F11" s="85"/>
      <c r="G11" s="85"/>
      <c r="H11" s="17"/>
      <c r="I11" s="39"/>
      <c r="J11" s="20"/>
      <c r="K11" s="86"/>
      <c r="L11" s="87"/>
      <c r="M11" s="88"/>
      <c r="N11" s="39"/>
      <c r="O11" s="39"/>
      <c r="P11" s="29"/>
      <c r="Q11" s="39"/>
      <c r="R11" s="29"/>
      <c r="S11" s="89"/>
      <c r="T11" s="90"/>
      <c r="U11" s="89"/>
      <c r="V11" s="91"/>
      <c r="W11" s="92"/>
      <c r="X11" s="93"/>
      <c r="Y11" s="94"/>
      <c r="Z11" s="94"/>
      <c r="AA11" s="93"/>
      <c r="AB11" s="94"/>
      <c r="AC11" s="94"/>
      <c r="AD11" s="93"/>
      <c r="AE11" s="94"/>
      <c r="AF11" s="95"/>
      <c r="AG11" s="93"/>
      <c r="AH11" s="95"/>
      <c r="AI11" s="93"/>
      <c r="AJ11" s="95"/>
      <c r="AK11" s="93"/>
      <c r="AL11" s="96"/>
      <c r="AM11" s="95"/>
      <c r="AN11" s="95"/>
    </row>
    <row r="12" spans="1:40" x14ac:dyDescent="0.25">
      <c r="B12" s="97"/>
      <c r="C12" s="98"/>
      <c r="D12" s="99"/>
      <c r="E12" s="100"/>
      <c r="F12" s="100"/>
      <c r="G12" s="101">
        <f>H2</f>
        <v>26000</v>
      </c>
      <c r="H12" s="97">
        <v>0</v>
      </c>
      <c r="I12" s="102">
        <f t="shared" ref="I12:I72" si="0">IF((J12&gt;0),(J12-H12+E12),(I11-H12+E12))</f>
        <v>0</v>
      </c>
      <c r="J12" s="103">
        <f>(K12+M12+L12)</f>
        <v>0</v>
      </c>
      <c r="K12" s="104"/>
      <c r="L12" s="105"/>
      <c r="M12" s="106"/>
      <c r="N12" s="102"/>
      <c r="O12" s="102"/>
      <c r="P12" s="107"/>
      <c r="Q12" s="102"/>
      <c r="R12" s="107"/>
      <c r="S12" s="108"/>
      <c r="T12" s="109"/>
      <c r="U12" s="108"/>
      <c r="V12" s="91"/>
      <c r="W12" s="92"/>
      <c r="X12" s="93"/>
      <c r="Y12" s="94"/>
      <c r="Z12" s="94"/>
      <c r="AA12" s="93"/>
      <c r="AB12" s="94"/>
      <c r="AC12" s="94"/>
      <c r="AD12" s="93"/>
      <c r="AE12" s="94"/>
      <c r="AF12" s="95"/>
      <c r="AG12" s="93"/>
      <c r="AH12" s="95"/>
      <c r="AI12" s="93"/>
      <c r="AJ12" s="95"/>
      <c r="AK12" s="93"/>
      <c r="AL12" s="96"/>
      <c r="AM12" s="95"/>
      <c r="AN12" s="95"/>
    </row>
    <row r="13" spans="1:40" x14ac:dyDescent="0.25">
      <c r="A13" s="25">
        <v>1</v>
      </c>
      <c r="B13" s="401">
        <f>C3</f>
        <v>46101</v>
      </c>
      <c r="C13" s="402"/>
      <c r="D13" s="110">
        <f>E13</f>
        <v>24000</v>
      </c>
      <c r="E13" s="268">
        <v>24000</v>
      </c>
      <c r="F13" s="268" t="s">
        <v>95</v>
      </c>
      <c r="G13" s="111">
        <f t="shared" ref="G13:G21" si="1">G12-E13</f>
        <v>2000</v>
      </c>
      <c r="H13" s="102">
        <f>('Consumption Guide'!G8*O13)/1000</f>
        <v>1760</v>
      </c>
      <c r="I13" s="225">
        <f t="shared" si="0"/>
        <v>22240</v>
      </c>
      <c r="J13" s="103">
        <f>(K13+M13+L13)</f>
        <v>0</v>
      </c>
      <c r="K13" s="104"/>
      <c r="L13" s="105"/>
      <c r="M13" s="106"/>
      <c r="N13" s="112"/>
      <c r="O13" s="102">
        <f>SUM(C2-N13)</f>
        <v>80000</v>
      </c>
      <c r="P13" s="107"/>
      <c r="Q13" s="102"/>
      <c r="R13" s="107"/>
      <c r="S13" s="108"/>
      <c r="T13" s="109"/>
      <c r="U13" s="108"/>
      <c r="V13" s="91"/>
      <c r="W13" s="92"/>
      <c r="X13" s="93"/>
      <c r="Y13" s="94"/>
      <c r="Z13" s="94"/>
      <c r="AA13" s="93"/>
      <c r="AB13" s="94"/>
      <c r="AC13" s="94"/>
      <c r="AD13" s="93"/>
      <c r="AE13" s="94"/>
      <c r="AF13" s="95"/>
      <c r="AG13" s="93"/>
      <c r="AH13" s="95"/>
      <c r="AI13" s="93"/>
      <c r="AJ13" s="95"/>
      <c r="AK13" s="93"/>
      <c r="AL13" s="96"/>
      <c r="AM13" s="95"/>
      <c r="AN13" s="95"/>
    </row>
    <row r="14" spans="1:40" x14ac:dyDescent="0.25">
      <c r="A14" s="25">
        <f>A13+1</f>
        <v>2</v>
      </c>
      <c r="B14" s="401">
        <f>B13+1</f>
        <v>46102</v>
      </c>
      <c r="C14" s="402"/>
      <c r="D14" s="110">
        <f t="shared" ref="D14:D72" si="2">D13+E14</f>
        <v>24000</v>
      </c>
      <c r="E14" s="114"/>
      <c r="F14" s="100"/>
      <c r="G14" s="111">
        <f t="shared" si="1"/>
        <v>2000</v>
      </c>
      <c r="H14" s="102">
        <f>('Consumption Guide'!G9*O14)/1000</f>
        <v>1920</v>
      </c>
      <c r="I14" s="225">
        <f t="shared" si="0"/>
        <v>20320</v>
      </c>
      <c r="J14" s="103">
        <f>(K14+M14+L14)</f>
        <v>0</v>
      </c>
      <c r="K14" s="104"/>
      <c r="L14" s="105"/>
      <c r="M14" s="106"/>
      <c r="N14" s="112"/>
      <c r="O14" s="102">
        <f t="shared" ref="O14:O45" si="3">SUM(O13-N14)</f>
        <v>80000</v>
      </c>
      <c r="P14" s="107"/>
      <c r="Q14" s="102"/>
      <c r="R14" s="107">
        <f>Q14+R13</f>
        <v>0</v>
      </c>
      <c r="S14" s="108"/>
      <c r="T14" s="109"/>
      <c r="U14" s="108"/>
      <c r="V14" s="91"/>
      <c r="W14" s="92"/>
      <c r="X14" s="93"/>
      <c r="Y14" s="94"/>
      <c r="Z14" s="94"/>
      <c r="AA14" s="93"/>
      <c r="AB14" s="94"/>
      <c r="AC14" s="94"/>
      <c r="AD14" s="93"/>
      <c r="AE14" s="94"/>
      <c r="AF14" s="95"/>
      <c r="AG14" s="93"/>
      <c r="AH14" s="95"/>
      <c r="AI14" s="93"/>
      <c r="AJ14" s="95"/>
      <c r="AK14" s="93"/>
      <c r="AL14" s="96"/>
      <c r="AM14" s="95"/>
      <c r="AN14" s="95"/>
    </row>
    <row r="15" spans="1:40" x14ac:dyDescent="0.25">
      <c r="A15" s="25">
        <f t="shared" ref="A15:B30" si="4">A14+1</f>
        <v>3</v>
      </c>
      <c r="B15" s="401">
        <f t="shared" si="4"/>
        <v>46103</v>
      </c>
      <c r="C15" s="402"/>
      <c r="D15" s="110">
        <f t="shared" si="2"/>
        <v>24000</v>
      </c>
      <c r="E15" s="114"/>
      <c r="F15" s="114"/>
      <c r="G15" s="111">
        <f t="shared" si="1"/>
        <v>2000</v>
      </c>
      <c r="H15" s="102">
        <f>('Consumption Guide'!G10*O15)/1000</f>
        <v>2080</v>
      </c>
      <c r="I15" s="225">
        <f t="shared" si="0"/>
        <v>18240</v>
      </c>
      <c r="J15" s="103">
        <f t="shared" ref="J15:J72" si="5">(K15+M15+L15)</f>
        <v>0</v>
      </c>
      <c r="K15" s="104"/>
      <c r="L15" s="105"/>
      <c r="M15" s="106"/>
      <c r="N15" s="112"/>
      <c r="O15" s="113">
        <f t="shared" si="3"/>
        <v>80000</v>
      </c>
      <c r="P15" s="107"/>
      <c r="Q15" s="102"/>
      <c r="R15" s="107">
        <f t="shared" ref="R15:R72" si="6">Q15+R14</f>
        <v>0</v>
      </c>
      <c r="S15" s="108"/>
      <c r="T15" s="109"/>
      <c r="U15" s="108"/>
      <c r="V15" s="91"/>
      <c r="W15" s="92"/>
      <c r="X15" s="93"/>
      <c r="Y15" s="94"/>
      <c r="Z15" s="94"/>
      <c r="AA15" s="93"/>
      <c r="AB15" s="94"/>
      <c r="AC15" s="94"/>
      <c r="AD15" s="93"/>
      <c r="AE15" s="94"/>
      <c r="AF15" s="95"/>
      <c r="AG15" s="93"/>
      <c r="AH15" s="95"/>
      <c r="AI15" s="93"/>
      <c r="AJ15" s="95"/>
      <c r="AK15" s="93"/>
      <c r="AL15" s="96"/>
      <c r="AM15" s="95"/>
      <c r="AN15" s="95"/>
    </row>
    <row r="16" spans="1:40" x14ac:dyDescent="0.25">
      <c r="A16" s="25">
        <f t="shared" si="4"/>
        <v>4</v>
      </c>
      <c r="B16" s="401">
        <f t="shared" si="4"/>
        <v>46104</v>
      </c>
      <c r="C16" s="402"/>
      <c r="D16" s="110">
        <f t="shared" si="2"/>
        <v>24000</v>
      </c>
      <c r="E16" s="114"/>
      <c r="F16" s="114"/>
      <c r="G16" s="111">
        <f t="shared" si="1"/>
        <v>2000</v>
      </c>
      <c r="H16" s="102">
        <f>('Consumption Guide'!G11*O16)/1000</f>
        <v>2240</v>
      </c>
      <c r="I16" s="225">
        <f t="shared" si="0"/>
        <v>16000</v>
      </c>
      <c r="J16" s="103">
        <f t="shared" si="5"/>
        <v>0</v>
      </c>
      <c r="K16" s="104"/>
      <c r="L16" s="274"/>
      <c r="M16" s="119"/>
      <c r="N16" s="112"/>
      <c r="O16" s="113">
        <f t="shared" si="3"/>
        <v>80000</v>
      </c>
      <c r="P16" s="107"/>
      <c r="Q16" s="102"/>
      <c r="R16" s="107">
        <f t="shared" si="6"/>
        <v>0</v>
      </c>
      <c r="S16" s="108"/>
      <c r="T16" s="109"/>
      <c r="U16" s="108"/>
      <c r="V16" s="91"/>
      <c r="W16" s="92"/>
    </row>
    <row r="17" spans="1:40" ht="20.25" customHeight="1" x14ac:dyDescent="0.25">
      <c r="A17" s="25">
        <f t="shared" si="4"/>
        <v>5</v>
      </c>
      <c r="B17" s="401">
        <f t="shared" si="4"/>
        <v>46105</v>
      </c>
      <c r="C17" s="402"/>
      <c r="D17" s="110">
        <f t="shared" si="2"/>
        <v>24000</v>
      </c>
      <c r="E17" s="114"/>
      <c r="F17" s="114"/>
      <c r="G17" s="111">
        <f t="shared" si="1"/>
        <v>2000</v>
      </c>
      <c r="H17" s="102">
        <f>('Consumption Guide'!G12*O17)/1000</f>
        <v>2400</v>
      </c>
      <c r="I17" s="225">
        <f t="shared" si="0"/>
        <v>13600</v>
      </c>
      <c r="J17" s="103">
        <f t="shared" si="5"/>
        <v>0</v>
      </c>
      <c r="K17" s="104"/>
      <c r="L17" s="105"/>
      <c r="M17" s="119"/>
      <c r="N17" s="112"/>
      <c r="O17" s="113">
        <f t="shared" si="3"/>
        <v>80000</v>
      </c>
      <c r="P17" s="107"/>
      <c r="Q17" s="102"/>
      <c r="R17" s="107">
        <f>Q17+R16</f>
        <v>0</v>
      </c>
      <c r="S17" s="108"/>
      <c r="T17" s="109"/>
      <c r="U17" s="108"/>
      <c r="V17" s="91"/>
      <c r="W17" s="92"/>
    </row>
    <row r="18" spans="1:40" x14ac:dyDescent="0.25">
      <c r="A18" s="25">
        <f t="shared" si="4"/>
        <v>6</v>
      </c>
      <c r="B18" s="401">
        <f t="shared" si="4"/>
        <v>46106</v>
      </c>
      <c r="C18" s="402"/>
      <c r="D18" s="110">
        <f t="shared" si="2"/>
        <v>24000</v>
      </c>
      <c r="E18" s="114"/>
      <c r="F18" s="114"/>
      <c r="G18" s="111">
        <f t="shared" si="1"/>
        <v>2000</v>
      </c>
      <c r="H18" s="102">
        <f>('Consumption Guide'!G13*O18)/1000</f>
        <v>2560</v>
      </c>
      <c r="I18" s="225">
        <f t="shared" si="0"/>
        <v>43440</v>
      </c>
      <c r="J18" s="103">
        <f t="shared" si="5"/>
        <v>46000</v>
      </c>
      <c r="K18" s="104">
        <v>18000</v>
      </c>
      <c r="L18" s="116">
        <v>22000</v>
      </c>
      <c r="M18" s="119">
        <v>6000</v>
      </c>
      <c r="N18" s="112"/>
      <c r="O18" s="113">
        <f t="shared" si="3"/>
        <v>80000</v>
      </c>
      <c r="P18" s="107"/>
      <c r="Q18" s="102"/>
      <c r="R18" s="107">
        <f t="shared" si="6"/>
        <v>0</v>
      </c>
      <c r="S18" s="108"/>
      <c r="T18" s="109"/>
      <c r="U18" s="108"/>
      <c r="V18" s="91"/>
      <c r="W18" s="92"/>
    </row>
    <row r="19" spans="1:40" x14ac:dyDescent="0.25">
      <c r="A19" s="25">
        <f t="shared" si="4"/>
        <v>7</v>
      </c>
      <c r="B19" s="401">
        <f t="shared" si="4"/>
        <v>46107</v>
      </c>
      <c r="C19" s="402"/>
      <c r="D19" s="110">
        <f t="shared" si="2"/>
        <v>40000</v>
      </c>
      <c r="E19" s="114">
        <v>16000</v>
      </c>
      <c r="F19" s="114"/>
      <c r="G19" s="111">
        <f t="shared" si="1"/>
        <v>-14000</v>
      </c>
      <c r="H19" s="102">
        <f>('Consumption Guide'!G14*O19)/1000</f>
        <v>2720</v>
      </c>
      <c r="I19" s="225">
        <f t="shared" si="0"/>
        <v>57280</v>
      </c>
      <c r="J19" s="103">
        <f t="shared" si="5"/>
        <v>44000</v>
      </c>
      <c r="K19" s="104">
        <v>18000</v>
      </c>
      <c r="L19" s="116">
        <v>20000</v>
      </c>
      <c r="M19" s="119">
        <v>6000</v>
      </c>
      <c r="N19" s="112"/>
      <c r="O19" s="113">
        <f t="shared" si="3"/>
        <v>80000</v>
      </c>
      <c r="P19" s="107"/>
      <c r="Q19" s="102"/>
      <c r="R19" s="107">
        <f t="shared" si="6"/>
        <v>0</v>
      </c>
      <c r="S19" s="108"/>
      <c r="T19" s="109"/>
      <c r="U19" s="108"/>
      <c r="V19" s="91"/>
      <c r="W19" s="92"/>
    </row>
    <row r="20" spans="1:40" x14ac:dyDescent="0.25">
      <c r="A20" s="25">
        <v>8</v>
      </c>
      <c r="B20" s="401">
        <f t="shared" si="4"/>
        <v>46108</v>
      </c>
      <c r="C20" s="402"/>
      <c r="D20" s="110">
        <f t="shared" si="2"/>
        <v>40000</v>
      </c>
      <c r="E20" s="114"/>
      <c r="F20" s="114"/>
      <c r="G20" s="111">
        <f t="shared" si="1"/>
        <v>-14000</v>
      </c>
      <c r="H20" s="102">
        <f>('Consumption Guide'!G15*O20)/1000</f>
        <v>2880</v>
      </c>
      <c r="I20" s="225">
        <f t="shared" si="0"/>
        <v>51120</v>
      </c>
      <c r="J20" s="103">
        <f t="shared" si="5"/>
        <v>54000</v>
      </c>
      <c r="K20" s="104">
        <v>18000</v>
      </c>
      <c r="L20" s="116">
        <v>20000</v>
      </c>
      <c r="M20" s="119">
        <v>16000</v>
      </c>
      <c r="N20" s="112"/>
      <c r="O20" s="113">
        <f t="shared" si="3"/>
        <v>80000</v>
      </c>
      <c r="P20" s="107"/>
      <c r="Q20" s="102"/>
      <c r="R20" s="107">
        <f t="shared" si="6"/>
        <v>0</v>
      </c>
      <c r="S20" s="108"/>
      <c r="T20" s="109"/>
      <c r="U20" s="108"/>
      <c r="V20" s="91"/>
      <c r="W20" s="92"/>
    </row>
    <row r="21" spans="1:40" x14ac:dyDescent="0.25">
      <c r="A21" s="25">
        <f t="shared" si="4"/>
        <v>9</v>
      </c>
      <c r="B21" s="401">
        <f t="shared" si="4"/>
        <v>46109</v>
      </c>
      <c r="C21" s="402"/>
      <c r="D21" s="110">
        <f t="shared" si="2"/>
        <v>40000</v>
      </c>
      <c r="E21" s="114"/>
      <c r="F21" s="114"/>
      <c r="G21" s="111">
        <f t="shared" si="1"/>
        <v>-14000</v>
      </c>
      <c r="H21" s="102">
        <f>('Consumption Guide'!G16*O21)/1000</f>
        <v>3200</v>
      </c>
      <c r="I21" s="225">
        <f t="shared" si="0"/>
        <v>47920</v>
      </c>
      <c r="J21" s="103">
        <f t="shared" si="5"/>
        <v>0</v>
      </c>
      <c r="K21" s="104"/>
      <c r="L21" s="116"/>
      <c r="M21" s="119"/>
      <c r="N21" s="112"/>
      <c r="O21" s="113">
        <f t="shared" si="3"/>
        <v>80000</v>
      </c>
      <c r="P21" s="107"/>
      <c r="Q21" s="102"/>
      <c r="R21" s="107">
        <f t="shared" si="6"/>
        <v>0</v>
      </c>
      <c r="S21" s="108"/>
      <c r="T21" s="109"/>
      <c r="U21" s="108"/>
      <c r="V21" s="91"/>
      <c r="W21" s="92"/>
    </row>
    <row r="22" spans="1:40" x14ac:dyDescent="0.25">
      <c r="A22" s="25">
        <f t="shared" si="4"/>
        <v>10</v>
      </c>
      <c r="B22" s="401">
        <f t="shared" si="4"/>
        <v>46110</v>
      </c>
      <c r="C22" s="402"/>
      <c r="D22" s="110">
        <f t="shared" si="2"/>
        <v>56000</v>
      </c>
      <c r="E22" s="114">
        <v>16000</v>
      </c>
      <c r="F22" s="114"/>
      <c r="G22" s="115">
        <v>96480</v>
      </c>
      <c r="H22" s="102">
        <f>('Consumption Guide'!G17*O22)/1000</f>
        <v>3600</v>
      </c>
      <c r="I22" s="225">
        <f t="shared" si="0"/>
        <v>60320</v>
      </c>
      <c r="J22" s="103">
        <f t="shared" si="5"/>
        <v>0</v>
      </c>
      <c r="K22" s="104"/>
      <c r="L22" s="97"/>
      <c r="M22" s="117"/>
      <c r="N22" s="112"/>
      <c r="O22" s="113">
        <f t="shared" si="3"/>
        <v>80000</v>
      </c>
      <c r="P22" s="107"/>
      <c r="Q22" s="102"/>
      <c r="R22" s="107">
        <f t="shared" si="6"/>
        <v>0</v>
      </c>
      <c r="S22" s="108"/>
      <c r="T22" s="109"/>
      <c r="U22" s="108"/>
      <c r="V22" s="91"/>
      <c r="W22" s="92"/>
      <c r="X22" s="93"/>
      <c r="Y22" s="94"/>
      <c r="Z22" s="94"/>
      <c r="AA22" s="93"/>
      <c r="AB22" s="94"/>
      <c r="AC22" s="94"/>
      <c r="AD22" s="93"/>
      <c r="AE22" s="94"/>
      <c r="AF22" s="95"/>
      <c r="AG22" s="93"/>
      <c r="AH22" s="95"/>
      <c r="AI22" s="93"/>
      <c r="AJ22" s="95"/>
      <c r="AK22" s="93"/>
      <c r="AL22" s="96"/>
      <c r="AM22" s="95"/>
      <c r="AN22" s="95"/>
    </row>
    <row r="23" spans="1:40" x14ac:dyDescent="0.25">
      <c r="A23" s="25">
        <f t="shared" si="4"/>
        <v>11</v>
      </c>
      <c r="B23" s="401">
        <f t="shared" si="4"/>
        <v>46111</v>
      </c>
      <c r="C23" s="402"/>
      <c r="D23" s="110">
        <f t="shared" si="2"/>
        <v>56000</v>
      </c>
      <c r="E23" s="114"/>
      <c r="F23" s="114"/>
      <c r="G23" s="115">
        <f>H3-E23</f>
        <v>92000</v>
      </c>
      <c r="H23" s="102">
        <f>('Consumption Guide'!G18*O23)/1000</f>
        <v>4000</v>
      </c>
      <c r="I23" s="225">
        <f t="shared" si="0"/>
        <v>46000</v>
      </c>
      <c r="J23" s="103">
        <f t="shared" si="5"/>
        <v>50000</v>
      </c>
      <c r="K23" s="104">
        <v>14000</v>
      </c>
      <c r="L23" s="97">
        <v>20000</v>
      </c>
      <c r="M23" s="117">
        <v>16000</v>
      </c>
      <c r="N23" s="112"/>
      <c r="O23" s="113">
        <f t="shared" si="3"/>
        <v>80000</v>
      </c>
      <c r="P23" s="107"/>
      <c r="Q23" s="102"/>
      <c r="R23" s="107">
        <f t="shared" si="6"/>
        <v>0</v>
      </c>
      <c r="S23" s="108"/>
      <c r="T23" s="109"/>
      <c r="U23" s="108"/>
      <c r="V23" s="91"/>
      <c r="W23" s="92"/>
    </row>
    <row r="24" spans="1:40" x14ac:dyDescent="0.25">
      <c r="A24" s="25">
        <f t="shared" si="4"/>
        <v>12</v>
      </c>
      <c r="B24" s="401">
        <f t="shared" si="4"/>
        <v>46112</v>
      </c>
      <c r="C24" s="402"/>
      <c r="D24" s="110">
        <f t="shared" si="2"/>
        <v>56000</v>
      </c>
      <c r="E24" s="114"/>
      <c r="F24" s="114"/>
      <c r="G24" s="115">
        <f t="shared" ref="G24:G36" si="7">G23-E24</f>
        <v>92000</v>
      </c>
      <c r="H24" s="102">
        <f>('Consumption Guide'!G19*O24)/1000</f>
        <v>4400</v>
      </c>
      <c r="I24" s="225">
        <f t="shared" si="0"/>
        <v>41600</v>
      </c>
      <c r="J24" s="103">
        <f t="shared" si="5"/>
        <v>0</v>
      </c>
      <c r="K24" s="104"/>
      <c r="L24" s="116"/>
      <c r="M24" s="118"/>
      <c r="N24" s="112"/>
      <c r="O24" s="113">
        <f t="shared" si="3"/>
        <v>80000</v>
      </c>
      <c r="P24" s="107"/>
      <c r="Q24" s="102"/>
      <c r="R24" s="107">
        <f t="shared" si="6"/>
        <v>0</v>
      </c>
      <c r="S24" s="108"/>
      <c r="T24" s="109"/>
      <c r="U24" s="108"/>
      <c r="V24" s="91"/>
      <c r="W24" s="92"/>
    </row>
    <row r="25" spans="1:40" x14ac:dyDescent="0.25">
      <c r="A25" s="25">
        <f t="shared" si="4"/>
        <v>13</v>
      </c>
      <c r="B25" s="401">
        <f t="shared" si="4"/>
        <v>46113</v>
      </c>
      <c r="C25" s="402"/>
      <c r="D25" s="110">
        <f t="shared" si="2"/>
        <v>56000</v>
      </c>
      <c r="E25" s="114"/>
      <c r="F25" s="114"/>
      <c r="G25" s="115">
        <f t="shared" si="7"/>
        <v>92000</v>
      </c>
      <c r="H25" s="102">
        <f>('Consumption Guide'!G20*O25)/1000</f>
        <v>4800</v>
      </c>
      <c r="I25" s="225">
        <f t="shared" si="0"/>
        <v>36800</v>
      </c>
      <c r="J25" s="103">
        <f t="shared" si="5"/>
        <v>0</v>
      </c>
      <c r="K25" s="224"/>
      <c r="L25" s="116"/>
      <c r="M25" s="118"/>
      <c r="N25" s="112"/>
      <c r="O25" s="113">
        <f t="shared" si="3"/>
        <v>80000</v>
      </c>
      <c r="P25" s="107"/>
      <c r="Q25" s="102"/>
      <c r="R25" s="107">
        <f t="shared" si="6"/>
        <v>0</v>
      </c>
      <c r="S25" s="108"/>
      <c r="T25" s="109"/>
      <c r="U25" s="108"/>
      <c r="V25" s="91"/>
      <c r="W25" s="92"/>
    </row>
    <row r="26" spans="1:40" x14ac:dyDescent="0.25">
      <c r="A26" s="25">
        <f t="shared" si="4"/>
        <v>14</v>
      </c>
      <c r="B26" s="401">
        <f t="shared" si="4"/>
        <v>46114</v>
      </c>
      <c r="C26" s="402"/>
      <c r="D26" s="110">
        <f t="shared" si="2"/>
        <v>72000</v>
      </c>
      <c r="E26" s="114">
        <v>16000</v>
      </c>
      <c r="F26" s="114"/>
      <c r="G26" s="115">
        <f t="shared" si="7"/>
        <v>76000</v>
      </c>
      <c r="H26" s="102">
        <f>('Consumption Guide'!G21*O26)/1000</f>
        <v>5200</v>
      </c>
      <c r="I26" s="225">
        <f t="shared" si="0"/>
        <v>47600</v>
      </c>
      <c r="J26" s="103">
        <f t="shared" si="5"/>
        <v>0</v>
      </c>
      <c r="K26" s="224"/>
      <c r="L26" s="97"/>
      <c r="M26" s="121"/>
      <c r="N26" s="102"/>
      <c r="O26" s="113">
        <f t="shared" si="3"/>
        <v>80000</v>
      </c>
      <c r="P26" s="107"/>
      <c r="Q26" s="102"/>
      <c r="R26" s="107">
        <f t="shared" si="6"/>
        <v>0</v>
      </c>
      <c r="S26" s="108"/>
      <c r="T26" s="109"/>
      <c r="U26" s="108"/>
      <c r="V26" s="91"/>
      <c r="W26" s="92"/>
    </row>
    <row r="27" spans="1:40" x14ac:dyDescent="0.25">
      <c r="A27" s="25">
        <f t="shared" si="4"/>
        <v>15</v>
      </c>
      <c r="B27" s="401">
        <f t="shared" si="4"/>
        <v>46115</v>
      </c>
      <c r="C27" s="402"/>
      <c r="D27" s="110">
        <f t="shared" si="2"/>
        <v>72000</v>
      </c>
      <c r="E27" s="114"/>
      <c r="F27" s="114"/>
      <c r="G27" s="115">
        <f t="shared" si="7"/>
        <v>76000</v>
      </c>
      <c r="H27" s="102">
        <f>('Consumption Guide'!G22*O27)/1000</f>
        <v>5920</v>
      </c>
      <c r="I27" s="225">
        <f t="shared" si="0"/>
        <v>41680</v>
      </c>
      <c r="J27" s="103">
        <f t="shared" si="5"/>
        <v>0</v>
      </c>
      <c r="K27" s="120"/>
      <c r="L27" s="97"/>
      <c r="M27" s="121"/>
      <c r="N27" s="112"/>
      <c r="O27" s="113">
        <f t="shared" si="3"/>
        <v>80000</v>
      </c>
      <c r="P27" s="107"/>
      <c r="Q27" s="102"/>
      <c r="R27" s="107">
        <f t="shared" si="6"/>
        <v>0</v>
      </c>
      <c r="S27" s="108"/>
      <c r="T27" s="109"/>
      <c r="U27" s="108"/>
      <c r="V27" s="91"/>
      <c r="W27" s="92"/>
    </row>
    <row r="28" spans="1:40" x14ac:dyDescent="0.25">
      <c r="A28" s="25">
        <f t="shared" si="4"/>
        <v>16</v>
      </c>
      <c r="B28" s="401">
        <f t="shared" si="4"/>
        <v>46116</v>
      </c>
      <c r="C28" s="402"/>
      <c r="D28" s="110">
        <f t="shared" si="2"/>
        <v>72000</v>
      </c>
      <c r="E28" s="114"/>
      <c r="F28" s="114"/>
      <c r="G28" s="115">
        <f t="shared" si="7"/>
        <v>76000</v>
      </c>
      <c r="H28" s="102">
        <f>('Consumption Guide'!G23*O28)/1000</f>
        <v>6000</v>
      </c>
      <c r="I28" s="225">
        <f t="shared" si="0"/>
        <v>35680</v>
      </c>
      <c r="J28" s="103">
        <f t="shared" si="5"/>
        <v>0</v>
      </c>
      <c r="K28" s="120"/>
      <c r="L28" s="97"/>
      <c r="M28" s="121"/>
      <c r="N28" s="112"/>
      <c r="O28" s="113">
        <f t="shared" si="3"/>
        <v>80000</v>
      </c>
      <c r="P28" s="107"/>
      <c r="Q28" s="102"/>
      <c r="R28" s="107">
        <f t="shared" si="6"/>
        <v>0</v>
      </c>
      <c r="S28" s="108"/>
      <c r="T28" s="109"/>
      <c r="U28" s="108"/>
      <c r="V28" s="91"/>
      <c r="W28" s="92"/>
    </row>
    <row r="29" spans="1:40" x14ac:dyDescent="0.25">
      <c r="A29" s="25">
        <f t="shared" si="4"/>
        <v>17</v>
      </c>
      <c r="B29" s="401">
        <f t="shared" si="4"/>
        <v>46117</v>
      </c>
      <c r="C29" s="402"/>
      <c r="D29" s="110">
        <f t="shared" si="2"/>
        <v>94000</v>
      </c>
      <c r="E29" s="114">
        <v>22000</v>
      </c>
      <c r="F29" s="114"/>
      <c r="G29" s="115">
        <f t="shared" si="7"/>
        <v>54000</v>
      </c>
      <c r="H29" s="102">
        <f>('Consumption Guide'!G24*O29)/1000</f>
        <v>6400</v>
      </c>
      <c r="I29" s="225">
        <f t="shared" si="0"/>
        <v>51280</v>
      </c>
      <c r="J29" s="103">
        <f t="shared" si="5"/>
        <v>0</v>
      </c>
      <c r="K29" s="138"/>
      <c r="L29" s="116"/>
      <c r="M29" s="119"/>
      <c r="N29" s="112"/>
      <c r="O29" s="113">
        <f t="shared" si="3"/>
        <v>80000</v>
      </c>
      <c r="P29" s="107"/>
      <c r="Q29" s="102"/>
      <c r="R29" s="107">
        <f t="shared" si="6"/>
        <v>0</v>
      </c>
      <c r="S29" s="108"/>
      <c r="T29" s="109"/>
      <c r="U29" s="108"/>
      <c r="V29" s="91"/>
      <c r="W29" s="92"/>
    </row>
    <row r="30" spans="1:40" x14ac:dyDescent="0.25">
      <c r="A30" s="25">
        <f t="shared" si="4"/>
        <v>18</v>
      </c>
      <c r="B30" s="401">
        <f t="shared" si="4"/>
        <v>46118</v>
      </c>
      <c r="C30" s="402"/>
      <c r="D30" s="110">
        <f t="shared" si="2"/>
        <v>94000</v>
      </c>
      <c r="E30" s="114"/>
      <c r="F30" s="114"/>
      <c r="G30" s="115">
        <f t="shared" si="7"/>
        <v>54000</v>
      </c>
      <c r="H30" s="102">
        <f>('Consumption Guide'!G25*O30)/1000</f>
        <v>6960</v>
      </c>
      <c r="I30" s="225">
        <f t="shared" si="0"/>
        <v>44320</v>
      </c>
      <c r="J30" s="103">
        <f>(K30+M30+L30)</f>
        <v>0</v>
      </c>
      <c r="K30" s="122"/>
      <c r="L30" s="97"/>
      <c r="M30" s="119"/>
      <c r="N30" s="112"/>
      <c r="O30" s="113">
        <f t="shared" si="3"/>
        <v>80000</v>
      </c>
      <c r="P30" s="107"/>
      <c r="Q30" s="102"/>
      <c r="R30" s="107">
        <f t="shared" si="6"/>
        <v>0</v>
      </c>
      <c r="S30" s="108"/>
      <c r="T30" s="109"/>
      <c r="U30" s="108"/>
      <c r="V30" s="91"/>
      <c r="W30" s="92"/>
    </row>
    <row r="31" spans="1:40" x14ac:dyDescent="0.25">
      <c r="A31" s="25">
        <f t="shared" ref="A31:B46" si="8">A30+1</f>
        <v>19</v>
      </c>
      <c r="B31" s="401">
        <f t="shared" si="8"/>
        <v>46119</v>
      </c>
      <c r="C31" s="402"/>
      <c r="D31" s="110">
        <f t="shared" si="2"/>
        <v>94000</v>
      </c>
      <c r="E31" s="114"/>
      <c r="F31" s="114"/>
      <c r="G31" s="115">
        <f t="shared" si="7"/>
        <v>54000</v>
      </c>
      <c r="H31" s="102">
        <f>('Consumption Guide'!G26*O31)/1000</f>
        <v>7440</v>
      </c>
      <c r="I31" s="225">
        <f t="shared" si="0"/>
        <v>36880</v>
      </c>
      <c r="J31" s="103">
        <f>(K31+M31+L31)</f>
        <v>0</v>
      </c>
      <c r="K31" s="122"/>
      <c r="L31" s="116"/>
      <c r="M31" s="121"/>
      <c r="N31" s="112"/>
      <c r="O31" s="113">
        <f t="shared" si="3"/>
        <v>80000</v>
      </c>
      <c r="P31" s="107"/>
      <c r="Q31" s="102"/>
      <c r="R31" s="107">
        <f t="shared" si="6"/>
        <v>0</v>
      </c>
      <c r="S31" s="108"/>
      <c r="T31" s="109"/>
      <c r="U31" s="108"/>
      <c r="V31" s="91"/>
      <c r="W31" s="92"/>
    </row>
    <row r="32" spans="1:40" x14ac:dyDescent="0.25">
      <c r="A32" s="25">
        <f t="shared" si="8"/>
        <v>20</v>
      </c>
      <c r="B32" s="401">
        <f t="shared" si="8"/>
        <v>46120</v>
      </c>
      <c r="C32" s="402"/>
      <c r="D32" s="110">
        <f t="shared" si="2"/>
        <v>94000</v>
      </c>
      <c r="E32" s="114"/>
      <c r="F32" s="16"/>
      <c r="G32" s="115">
        <f t="shared" si="7"/>
        <v>54000</v>
      </c>
      <c r="H32" s="102">
        <f>('Consumption Guide'!G27*O32)/1000</f>
        <v>7760</v>
      </c>
      <c r="I32" s="225">
        <f t="shared" si="0"/>
        <v>29120</v>
      </c>
      <c r="J32" s="103">
        <f>(K32+M32+L32)</f>
        <v>0</v>
      </c>
      <c r="K32" s="122"/>
      <c r="L32" s="116"/>
      <c r="M32" s="119"/>
      <c r="N32" s="112"/>
      <c r="O32" s="113">
        <f t="shared" si="3"/>
        <v>80000</v>
      </c>
      <c r="P32" s="107"/>
      <c r="Q32" s="102"/>
      <c r="R32" s="107">
        <f t="shared" si="6"/>
        <v>0</v>
      </c>
      <c r="S32" s="108"/>
      <c r="T32" s="109"/>
      <c r="U32" s="108"/>
      <c r="V32" s="91"/>
      <c r="W32" s="92"/>
    </row>
    <row r="33" spans="1:23" x14ac:dyDescent="0.25">
      <c r="A33" s="25">
        <f t="shared" si="8"/>
        <v>21</v>
      </c>
      <c r="B33" s="401">
        <f t="shared" si="8"/>
        <v>46121</v>
      </c>
      <c r="C33" s="402"/>
      <c r="D33" s="110">
        <f t="shared" si="2"/>
        <v>94000</v>
      </c>
      <c r="E33" s="114"/>
      <c r="F33" s="114"/>
      <c r="G33" s="115">
        <f t="shared" si="7"/>
        <v>54000</v>
      </c>
      <c r="H33" s="102">
        <f>('Consumption Guide'!G28*O33)/1000</f>
        <v>8240</v>
      </c>
      <c r="I33" s="225">
        <f t="shared" si="0"/>
        <v>20880</v>
      </c>
      <c r="J33" s="103">
        <f>(K33+M33+L33)</f>
        <v>0</v>
      </c>
      <c r="K33" s="122"/>
      <c r="L33" s="97"/>
      <c r="M33" s="121"/>
      <c r="N33" s="112"/>
      <c r="O33" s="113">
        <f t="shared" si="3"/>
        <v>80000</v>
      </c>
      <c r="P33" s="107"/>
      <c r="Q33" s="102"/>
      <c r="R33" s="107">
        <f t="shared" si="6"/>
        <v>0</v>
      </c>
      <c r="S33" s="108"/>
      <c r="T33" s="109"/>
      <c r="U33" s="108"/>
      <c r="V33" s="91"/>
      <c r="W33" s="92"/>
    </row>
    <row r="34" spans="1:23" x14ac:dyDescent="0.25">
      <c r="A34" s="25">
        <f t="shared" si="8"/>
        <v>22</v>
      </c>
      <c r="B34" s="401">
        <f t="shared" si="8"/>
        <v>46122</v>
      </c>
      <c r="C34" s="402"/>
      <c r="D34" s="110">
        <f t="shared" si="2"/>
        <v>94000</v>
      </c>
      <c r="E34" s="114"/>
      <c r="F34" s="16"/>
      <c r="G34" s="115">
        <f t="shared" si="7"/>
        <v>54000</v>
      </c>
      <c r="H34" s="102">
        <f>('Consumption Guide'!G29*O34)/1000</f>
        <v>8560</v>
      </c>
      <c r="I34" s="225">
        <f t="shared" si="0"/>
        <v>12320</v>
      </c>
      <c r="J34" s="103">
        <f>(K34+M34+L34)</f>
        <v>0</v>
      </c>
      <c r="K34" s="122"/>
      <c r="L34" s="97"/>
      <c r="M34" s="121"/>
      <c r="N34" s="112"/>
      <c r="O34" s="113">
        <f t="shared" si="3"/>
        <v>80000</v>
      </c>
      <c r="P34" s="107"/>
      <c r="Q34" s="102"/>
      <c r="R34" s="107">
        <f t="shared" si="6"/>
        <v>0</v>
      </c>
      <c r="S34" s="108"/>
      <c r="T34" s="109"/>
      <c r="U34" s="108"/>
      <c r="V34" s="91"/>
      <c r="W34" s="92"/>
    </row>
    <row r="35" spans="1:23" x14ac:dyDescent="0.25">
      <c r="A35" s="25">
        <f t="shared" si="8"/>
        <v>23</v>
      </c>
      <c r="B35" s="401">
        <f t="shared" si="8"/>
        <v>46123</v>
      </c>
      <c r="C35" s="402"/>
      <c r="D35" s="110">
        <f t="shared" si="2"/>
        <v>94000</v>
      </c>
      <c r="E35" s="114"/>
      <c r="F35" s="16"/>
      <c r="G35" s="115">
        <f t="shared" si="7"/>
        <v>54000</v>
      </c>
      <c r="H35" s="102">
        <f>('Consumption Guide'!G30*O35)/1000</f>
        <v>9040</v>
      </c>
      <c r="I35" s="225">
        <f t="shared" si="0"/>
        <v>3280</v>
      </c>
      <c r="J35" s="103">
        <f t="shared" si="5"/>
        <v>0</v>
      </c>
      <c r="K35" s="122"/>
      <c r="L35" s="97"/>
      <c r="M35" s="121"/>
      <c r="N35" s="112"/>
      <c r="O35" s="113">
        <f t="shared" si="3"/>
        <v>80000</v>
      </c>
      <c r="P35" s="107"/>
      <c r="Q35" s="102"/>
      <c r="R35" s="107">
        <f t="shared" si="6"/>
        <v>0</v>
      </c>
      <c r="S35" s="108"/>
      <c r="T35" s="109"/>
      <c r="U35" s="108"/>
      <c r="V35" s="91"/>
      <c r="W35" s="92"/>
    </row>
    <row r="36" spans="1:23" x14ac:dyDescent="0.25">
      <c r="A36" s="25">
        <f t="shared" si="8"/>
        <v>24</v>
      </c>
      <c r="B36" s="401">
        <f t="shared" si="8"/>
        <v>46124</v>
      </c>
      <c r="C36" s="402"/>
      <c r="D36" s="110">
        <f t="shared" si="2"/>
        <v>94000</v>
      </c>
      <c r="E36" s="16"/>
      <c r="F36" s="16"/>
      <c r="G36" s="115">
        <f t="shared" si="7"/>
        <v>54000</v>
      </c>
      <c r="H36" s="102">
        <f>('Consumption Guide'!G31*O36)/1000</f>
        <v>9440</v>
      </c>
      <c r="I36" s="225">
        <f t="shared" si="0"/>
        <v>-6160</v>
      </c>
      <c r="J36" s="103">
        <f t="shared" si="5"/>
        <v>0</v>
      </c>
      <c r="K36" s="129"/>
      <c r="L36" s="97"/>
      <c r="M36" s="171"/>
      <c r="N36" s="112"/>
      <c r="O36" s="113">
        <f t="shared" si="3"/>
        <v>80000</v>
      </c>
      <c r="P36" s="107"/>
      <c r="Q36" s="102"/>
      <c r="R36" s="107">
        <f t="shared" si="6"/>
        <v>0</v>
      </c>
      <c r="S36" s="108"/>
      <c r="T36" s="109"/>
      <c r="U36" s="108"/>
      <c r="V36" s="91"/>
      <c r="W36" s="92"/>
    </row>
    <row r="37" spans="1:23" x14ac:dyDescent="0.25">
      <c r="A37" s="25">
        <f t="shared" si="8"/>
        <v>25</v>
      </c>
      <c r="B37" s="401">
        <f t="shared" si="8"/>
        <v>46125</v>
      </c>
      <c r="C37" s="402"/>
      <c r="D37" s="110">
        <f t="shared" si="2"/>
        <v>94000</v>
      </c>
      <c r="E37" s="16"/>
      <c r="F37" s="16"/>
      <c r="G37" s="123">
        <f>H4-E36</f>
        <v>136000</v>
      </c>
      <c r="H37" s="102">
        <f>('Consumption Guide'!G32*O37)/1000</f>
        <v>9760</v>
      </c>
      <c r="I37" s="225">
        <f t="shared" si="0"/>
        <v>-15920</v>
      </c>
      <c r="J37" s="103">
        <f t="shared" si="5"/>
        <v>0</v>
      </c>
      <c r="K37" s="122"/>
      <c r="L37" s="97"/>
      <c r="M37" s="121"/>
      <c r="N37" s="112"/>
      <c r="O37" s="113">
        <f t="shared" si="3"/>
        <v>80000</v>
      </c>
      <c r="P37" s="107"/>
      <c r="Q37" s="102"/>
      <c r="R37" s="107">
        <f t="shared" si="6"/>
        <v>0</v>
      </c>
      <c r="S37" s="108"/>
      <c r="T37" s="109"/>
      <c r="U37" s="108"/>
      <c r="V37" s="91"/>
      <c r="W37" s="92"/>
    </row>
    <row r="38" spans="1:23" s="124" customFormat="1" x14ac:dyDescent="0.25">
      <c r="A38" s="124">
        <f t="shared" si="8"/>
        <v>26</v>
      </c>
      <c r="B38" s="401">
        <f t="shared" si="8"/>
        <v>46126</v>
      </c>
      <c r="C38" s="402"/>
      <c r="D38" s="110">
        <f t="shared" si="2"/>
        <v>94000</v>
      </c>
      <c r="E38" s="16"/>
      <c r="F38" s="16"/>
      <c r="G38" s="123">
        <f t="shared" ref="G38:G44" si="9">G37-E38</f>
        <v>136000</v>
      </c>
      <c r="H38" s="102">
        <f>('Consumption Guide'!G33*O38)/1000</f>
        <v>10240</v>
      </c>
      <c r="I38" s="225">
        <f t="shared" si="0"/>
        <v>-26160</v>
      </c>
      <c r="J38" s="103">
        <f t="shared" si="5"/>
        <v>0</v>
      </c>
      <c r="K38" s="129"/>
      <c r="L38" s="125"/>
      <c r="M38" s="121"/>
      <c r="N38" s="126"/>
      <c r="O38" s="113">
        <f t="shared" si="3"/>
        <v>80000</v>
      </c>
      <c r="P38" s="107"/>
      <c r="Q38" s="102"/>
      <c r="R38" s="107">
        <f t="shared" si="6"/>
        <v>0</v>
      </c>
      <c r="S38" s="108"/>
      <c r="T38" s="109"/>
      <c r="U38" s="108"/>
      <c r="V38" s="127"/>
      <c r="W38" s="128"/>
    </row>
    <row r="39" spans="1:23" x14ac:dyDescent="0.25">
      <c r="A39" s="25">
        <f t="shared" si="8"/>
        <v>27</v>
      </c>
      <c r="B39" s="401">
        <f t="shared" si="8"/>
        <v>46127</v>
      </c>
      <c r="C39" s="402"/>
      <c r="D39" s="110">
        <f t="shared" si="2"/>
        <v>94000</v>
      </c>
      <c r="E39" s="16"/>
      <c r="F39" s="16"/>
      <c r="G39" s="123">
        <f t="shared" si="9"/>
        <v>136000</v>
      </c>
      <c r="H39" s="102">
        <f>('Consumption Guide'!G34*O39)/1000</f>
        <v>10720</v>
      </c>
      <c r="I39" s="225">
        <f t="shared" si="0"/>
        <v>-36880</v>
      </c>
      <c r="J39" s="103">
        <f t="shared" si="5"/>
        <v>0</v>
      </c>
      <c r="K39" s="129"/>
      <c r="L39" s="170"/>
      <c r="M39" s="171"/>
      <c r="N39" s="112"/>
      <c r="O39" s="113">
        <f t="shared" si="3"/>
        <v>80000</v>
      </c>
      <c r="P39" s="107"/>
      <c r="Q39" s="102"/>
      <c r="R39" s="107">
        <f t="shared" si="6"/>
        <v>0</v>
      </c>
      <c r="S39" s="108"/>
      <c r="T39" s="109"/>
      <c r="U39" s="108"/>
      <c r="V39" s="91"/>
      <c r="W39" s="92"/>
    </row>
    <row r="40" spans="1:23" x14ac:dyDescent="0.25">
      <c r="A40" s="25">
        <f t="shared" si="8"/>
        <v>28</v>
      </c>
      <c r="B40" s="401">
        <f t="shared" si="8"/>
        <v>46128</v>
      </c>
      <c r="C40" s="402"/>
      <c r="D40" s="110">
        <f t="shared" si="2"/>
        <v>94000</v>
      </c>
      <c r="E40" s="16"/>
      <c r="F40" s="16"/>
      <c r="G40" s="123">
        <f t="shared" si="9"/>
        <v>136000</v>
      </c>
      <c r="H40" s="102">
        <f>('Consumption Guide'!G35*O40)/1000</f>
        <v>11120</v>
      </c>
      <c r="I40" s="225">
        <f t="shared" si="0"/>
        <v>-48000</v>
      </c>
      <c r="J40" s="103">
        <f t="shared" si="5"/>
        <v>0</v>
      </c>
      <c r="K40" s="129"/>
      <c r="L40" s="170"/>
      <c r="M40" s="171"/>
      <c r="N40" s="131"/>
      <c r="O40" s="113">
        <f t="shared" si="3"/>
        <v>80000</v>
      </c>
      <c r="P40" s="107"/>
      <c r="Q40" s="102"/>
      <c r="R40" s="107">
        <f t="shared" si="6"/>
        <v>0</v>
      </c>
      <c r="S40" s="108"/>
      <c r="T40" s="109"/>
      <c r="U40" s="108"/>
      <c r="V40" s="91"/>
      <c r="W40" s="92"/>
    </row>
    <row r="41" spans="1:23" x14ac:dyDescent="0.25">
      <c r="A41" s="25">
        <f t="shared" si="8"/>
        <v>29</v>
      </c>
      <c r="B41" s="401">
        <f t="shared" si="8"/>
        <v>46129</v>
      </c>
      <c r="C41" s="402"/>
      <c r="D41" s="110">
        <f t="shared" si="2"/>
        <v>94000</v>
      </c>
      <c r="E41" s="16"/>
      <c r="F41" s="16"/>
      <c r="G41" s="123">
        <f t="shared" si="9"/>
        <v>136000</v>
      </c>
      <c r="H41" s="102">
        <f>('Consumption Guide'!G36*O41)/1000</f>
        <v>11200</v>
      </c>
      <c r="I41" s="225">
        <f t="shared" si="0"/>
        <v>-59200</v>
      </c>
      <c r="J41" s="103">
        <f t="shared" si="5"/>
        <v>0</v>
      </c>
      <c r="K41" s="129"/>
      <c r="L41" s="170"/>
      <c r="M41" s="171"/>
      <c r="N41" s="132"/>
      <c r="O41" s="113">
        <f t="shared" si="3"/>
        <v>80000</v>
      </c>
      <c r="P41" s="107"/>
      <c r="Q41" s="102"/>
      <c r="R41" s="107">
        <f t="shared" si="6"/>
        <v>0</v>
      </c>
      <c r="S41" s="108"/>
      <c r="T41" s="109"/>
      <c r="U41" s="108"/>
      <c r="V41" s="91"/>
      <c r="W41" s="92"/>
    </row>
    <row r="42" spans="1:23" x14ac:dyDescent="0.25">
      <c r="A42" s="25">
        <f t="shared" si="8"/>
        <v>30</v>
      </c>
      <c r="B42" s="401">
        <f t="shared" si="8"/>
        <v>46130</v>
      </c>
      <c r="C42" s="402"/>
      <c r="D42" s="110">
        <f t="shared" si="2"/>
        <v>94000</v>
      </c>
      <c r="E42" s="16"/>
      <c r="F42" s="16"/>
      <c r="G42" s="123">
        <f t="shared" si="9"/>
        <v>136000</v>
      </c>
      <c r="H42" s="102">
        <f>('Consumption Guide'!G37*O42)/1000</f>
        <v>11360</v>
      </c>
      <c r="I42" s="225">
        <f t="shared" si="0"/>
        <v>-70560</v>
      </c>
      <c r="J42" s="103">
        <f t="shared" si="5"/>
        <v>0</v>
      </c>
      <c r="K42" s="129"/>
      <c r="L42" s="170"/>
      <c r="M42" s="134"/>
      <c r="N42" s="132"/>
      <c r="O42" s="113">
        <f t="shared" si="3"/>
        <v>80000</v>
      </c>
      <c r="P42" s="107"/>
      <c r="Q42" s="102"/>
      <c r="R42" s="107">
        <f t="shared" si="6"/>
        <v>0</v>
      </c>
      <c r="S42" s="108"/>
      <c r="T42" s="109"/>
      <c r="U42" s="108"/>
      <c r="V42" s="91"/>
      <c r="W42" s="92"/>
    </row>
    <row r="43" spans="1:23" x14ac:dyDescent="0.25">
      <c r="A43" s="25">
        <f t="shared" si="8"/>
        <v>31</v>
      </c>
      <c r="B43" s="401">
        <f t="shared" si="8"/>
        <v>46131</v>
      </c>
      <c r="C43" s="402"/>
      <c r="D43" s="110">
        <f t="shared" si="2"/>
        <v>94000</v>
      </c>
      <c r="E43" s="16"/>
      <c r="F43" s="16"/>
      <c r="G43" s="123">
        <f t="shared" si="9"/>
        <v>136000</v>
      </c>
      <c r="H43" s="102">
        <f>('Consumption Guide'!G38*O43)/1000</f>
        <v>11920</v>
      </c>
      <c r="I43" s="225">
        <f t="shared" si="0"/>
        <v>-82480</v>
      </c>
      <c r="J43" s="103">
        <f t="shared" si="5"/>
        <v>0</v>
      </c>
      <c r="K43" s="129"/>
      <c r="L43" s="170"/>
      <c r="M43" s="134"/>
      <c r="N43" s="126"/>
      <c r="O43" s="113">
        <f t="shared" si="3"/>
        <v>80000</v>
      </c>
      <c r="P43" s="107"/>
      <c r="Q43" s="102"/>
      <c r="R43" s="107">
        <f t="shared" si="6"/>
        <v>0</v>
      </c>
      <c r="S43" s="108"/>
      <c r="T43" s="109"/>
      <c r="U43" s="108"/>
      <c r="V43" s="91"/>
      <c r="W43" s="92"/>
    </row>
    <row r="44" spans="1:23" x14ac:dyDescent="0.25">
      <c r="A44" s="25">
        <f t="shared" si="8"/>
        <v>32</v>
      </c>
      <c r="B44" s="401">
        <f t="shared" si="8"/>
        <v>46132</v>
      </c>
      <c r="C44" s="402"/>
      <c r="D44" s="110">
        <f t="shared" si="2"/>
        <v>94000</v>
      </c>
      <c r="E44" s="16"/>
      <c r="F44" s="16"/>
      <c r="G44" s="123">
        <f t="shared" si="9"/>
        <v>136000</v>
      </c>
      <c r="H44" s="102">
        <f>('Consumption Guide'!G39*O44)/1000</f>
        <v>12240</v>
      </c>
      <c r="I44" s="225">
        <f t="shared" si="0"/>
        <v>-94720</v>
      </c>
      <c r="J44" s="103">
        <f>(K44+M44+L44)</f>
        <v>0</v>
      </c>
      <c r="K44" s="129"/>
      <c r="L44" s="130"/>
      <c r="M44" s="134"/>
      <c r="N44" s="99"/>
      <c r="O44" s="113">
        <f t="shared" si="3"/>
        <v>80000</v>
      </c>
      <c r="P44" s="107"/>
      <c r="Q44" s="102"/>
      <c r="R44" s="107">
        <f t="shared" si="6"/>
        <v>0</v>
      </c>
      <c r="S44" s="108"/>
      <c r="T44" s="109"/>
      <c r="U44" s="108"/>
      <c r="V44" s="91"/>
      <c r="W44" s="92"/>
    </row>
    <row r="45" spans="1:23" s="124" customFormat="1" x14ac:dyDescent="0.25">
      <c r="A45" s="124">
        <f t="shared" si="8"/>
        <v>33</v>
      </c>
      <c r="B45" s="401">
        <f t="shared" si="8"/>
        <v>46133</v>
      </c>
      <c r="C45" s="402"/>
      <c r="D45" s="110">
        <f t="shared" si="2"/>
        <v>94000</v>
      </c>
      <c r="E45" s="16"/>
      <c r="F45" s="16"/>
      <c r="G45" s="135">
        <v>0</v>
      </c>
      <c r="H45" s="102">
        <f>('Consumption Guide'!G40*O45)/1000</f>
        <v>12640</v>
      </c>
      <c r="I45" s="225">
        <f t="shared" si="0"/>
        <v>-107360</v>
      </c>
      <c r="J45" s="103">
        <f t="shared" si="5"/>
        <v>0</v>
      </c>
      <c r="K45" s="129"/>
      <c r="L45" s="130"/>
      <c r="M45" s="134"/>
      <c r="N45" s="99"/>
      <c r="O45" s="113">
        <f t="shared" si="3"/>
        <v>80000</v>
      </c>
      <c r="P45" s="136"/>
      <c r="Q45" s="102"/>
      <c r="R45" s="107">
        <f t="shared" si="6"/>
        <v>0</v>
      </c>
      <c r="S45" s="108"/>
      <c r="T45" s="109"/>
      <c r="U45" s="108"/>
      <c r="V45" s="127"/>
      <c r="W45" s="128"/>
    </row>
    <row r="46" spans="1:23" x14ac:dyDescent="0.25">
      <c r="A46" s="25">
        <f t="shared" si="8"/>
        <v>34</v>
      </c>
      <c r="B46" s="401">
        <f t="shared" si="8"/>
        <v>46134</v>
      </c>
      <c r="C46" s="402"/>
      <c r="D46" s="110">
        <f t="shared" si="2"/>
        <v>94000</v>
      </c>
      <c r="E46" s="16"/>
      <c r="F46" s="16"/>
      <c r="G46" s="135">
        <v>0</v>
      </c>
      <c r="H46" s="102">
        <f>('Consumption Guide'!G41*O46)/1000</f>
        <v>13040</v>
      </c>
      <c r="I46" s="225">
        <f t="shared" si="0"/>
        <v>-120400</v>
      </c>
      <c r="J46" s="103">
        <f t="shared" si="5"/>
        <v>0</v>
      </c>
      <c r="K46" s="129"/>
      <c r="L46" s="130"/>
      <c r="M46" s="134"/>
      <c r="N46" s="112"/>
      <c r="O46" s="113">
        <f t="shared" ref="O46:O72" si="10">SUM(O45-N46)</f>
        <v>80000</v>
      </c>
      <c r="P46" s="136"/>
      <c r="Q46" s="102"/>
      <c r="R46" s="107">
        <f t="shared" si="6"/>
        <v>0</v>
      </c>
      <c r="S46" s="108"/>
      <c r="T46" s="109"/>
      <c r="U46" s="108"/>
      <c r="V46" s="91"/>
      <c r="W46" s="92"/>
    </row>
    <row r="47" spans="1:23" x14ac:dyDescent="0.25">
      <c r="A47" s="25">
        <f t="shared" ref="A47:B62" si="11">A46+1</f>
        <v>35</v>
      </c>
      <c r="B47" s="401">
        <f t="shared" si="11"/>
        <v>46135</v>
      </c>
      <c r="C47" s="402"/>
      <c r="D47" s="110">
        <f t="shared" si="2"/>
        <v>94000</v>
      </c>
      <c r="E47" s="16"/>
      <c r="F47" s="16"/>
      <c r="G47" s="135">
        <v>0</v>
      </c>
      <c r="H47" s="102">
        <f>('Consumption Guide'!G42*O47)/1000</f>
        <v>13200</v>
      </c>
      <c r="I47" s="225">
        <f t="shared" si="0"/>
        <v>-133600</v>
      </c>
      <c r="J47" s="103">
        <f t="shared" si="5"/>
        <v>0</v>
      </c>
      <c r="K47" s="129"/>
      <c r="L47" s="130"/>
      <c r="M47" s="134"/>
      <c r="N47" s="112"/>
      <c r="O47" s="113">
        <f t="shared" si="10"/>
        <v>80000</v>
      </c>
      <c r="P47" s="136"/>
      <c r="Q47" s="102"/>
      <c r="R47" s="107">
        <f t="shared" si="6"/>
        <v>0</v>
      </c>
      <c r="S47" s="108"/>
      <c r="T47" s="109"/>
      <c r="U47" s="108"/>
      <c r="V47" s="91"/>
      <c r="W47" s="92"/>
    </row>
    <row r="48" spans="1:23" x14ac:dyDescent="0.25">
      <c r="A48" s="25">
        <f t="shared" si="11"/>
        <v>36</v>
      </c>
      <c r="B48" s="401">
        <f t="shared" si="11"/>
        <v>46136</v>
      </c>
      <c r="C48" s="402"/>
      <c r="D48" s="110">
        <f t="shared" si="2"/>
        <v>94000</v>
      </c>
      <c r="E48" s="16"/>
      <c r="F48" s="277"/>
      <c r="G48" s="135">
        <v>0</v>
      </c>
      <c r="H48" s="102">
        <f>('Consumption Guide'!G43*O48)/1000</f>
        <v>13440</v>
      </c>
      <c r="I48" s="225">
        <f t="shared" si="0"/>
        <v>-147040</v>
      </c>
      <c r="J48" s="103">
        <f t="shared" si="5"/>
        <v>0</v>
      </c>
      <c r="K48" s="129"/>
      <c r="L48" s="130"/>
      <c r="M48" s="134"/>
      <c r="N48" s="131"/>
      <c r="O48" s="113">
        <f t="shared" si="10"/>
        <v>80000</v>
      </c>
      <c r="P48" s="136"/>
      <c r="Q48" s="102"/>
      <c r="R48" s="107">
        <f t="shared" si="6"/>
        <v>0</v>
      </c>
      <c r="S48" s="108"/>
      <c r="T48" s="109"/>
      <c r="U48" s="108"/>
      <c r="V48" s="91"/>
      <c r="W48" s="92"/>
    </row>
    <row r="49" spans="1:23" x14ac:dyDescent="0.25">
      <c r="A49" s="25">
        <f t="shared" si="11"/>
        <v>37</v>
      </c>
      <c r="B49" s="401">
        <f t="shared" si="11"/>
        <v>46137</v>
      </c>
      <c r="C49" s="402"/>
      <c r="D49" s="110">
        <f t="shared" si="2"/>
        <v>94000</v>
      </c>
      <c r="E49" s="99"/>
      <c r="F49" s="99"/>
      <c r="G49" s="135">
        <v>0</v>
      </c>
      <c r="H49" s="102">
        <f>('Consumption Guide'!G44*O49)/1000</f>
        <v>13680</v>
      </c>
      <c r="I49" s="225">
        <f t="shared" si="0"/>
        <v>-160720</v>
      </c>
      <c r="J49" s="103">
        <f t="shared" si="5"/>
        <v>0</v>
      </c>
      <c r="K49" s="129"/>
      <c r="L49" s="130"/>
      <c r="M49" s="134"/>
      <c r="N49" s="99"/>
      <c r="O49" s="113">
        <f t="shared" si="10"/>
        <v>80000</v>
      </c>
      <c r="P49" s="136"/>
      <c r="Q49" s="102"/>
      <c r="R49" s="107">
        <f t="shared" si="6"/>
        <v>0</v>
      </c>
      <c r="S49" s="108"/>
      <c r="T49" s="109"/>
      <c r="U49" s="108"/>
      <c r="V49" s="91"/>
      <c r="W49" s="92"/>
    </row>
    <row r="50" spans="1:23" x14ac:dyDescent="0.25">
      <c r="A50" s="25">
        <f t="shared" si="11"/>
        <v>38</v>
      </c>
      <c r="B50" s="401">
        <f t="shared" si="11"/>
        <v>46138</v>
      </c>
      <c r="C50" s="402"/>
      <c r="D50" s="110">
        <f t="shared" si="2"/>
        <v>94000</v>
      </c>
      <c r="E50" s="99"/>
      <c r="F50" s="99"/>
      <c r="G50" s="135">
        <v>0</v>
      </c>
      <c r="H50" s="102">
        <f>('Consumption Guide'!G45*O50)/1000</f>
        <v>13920</v>
      </c>
      <c r="I50" s="225">
        <f t="shared" si="0"/>
        <v>-174640</v>
      </c>
      <c r="J50" s="103">
        <f t="shared" si="5"/>
        <v>0</v>
      </c>
      <c r="K50" s="129"/>
      <c r="L50" s="130"/>
      <c r="M50" s="134"/>
      <c r="N50" s="99"/>
      <c r="O50" s="113">
        <f t="shared" si="10"/>
        <v>80000</v>
      </c>
      <c r="P50" s="136"/>
      <c r="Q50" s="102"/>
      <c r="R50" s="107">
        <f t="shared" si="6"/>
        <v>0</v>
      </c>
      <c r="S50" s="108"/>
      <c r="T50" s="109"/>
      <c r="U50" s="108"/>
      <c r="V50" s="91"/>
      <c r="W50" s="92"/>
    </row>
    <row r="51" spans="1:23" x14ac:dyDescent="0.25">
      <c r="A51" s="25">
        <f t="shared" si="11"/>
        <v>39</v>
      </c>
      <c r="B51" s="401">
        <f t="shared" si="11"/>
        <v>46139</v>
      </c>
      <c r="C51" s="402"/>
      <c r="D51" s="110">
        <f t="shared" si="2"/>
        <v>94000</v>
      </c>
      <c r="E51" s="99"/>
      <c r="F51" s="99"/>
      <c r="G51" s="135">
        <v>0</v>
      </c>
      <c r="H51" s="102">
        <f>('Consumption Guide'!G46*O51)/1000</f>
        <v>14080</v>
      </c>
      <c r="I51" s="225">
        <f t="shared" si="0"/>
        <v>-188720</v>
      </c>
      <c r="J51" s="103">
        <f t="shared" si="5"/>
        <v>0</v>
      </c>
      <c r="K51" s="129"/>
      <c r="L51" s="130"/>
      <c r="M51" s="134"/>
      <c r="N51" s="16"/>
      <c r="O51" s="113">
        <f t="shared" si="10"/>
        <v>80000</v>
      </c>
      <c r="P51" s="136"/>
      <c r="Q51" s="102"/>
      <c r="R51" s="107">
        <f t="shared" si="6"/>
        <v>0</v>
      </c>
      <c r="S51" s="108"/>
      <c r="T51" s="109"/>
      <c r="U51" s="108"/>
      <c r="V51" s="91"/>
      <c r="W51" s="92"/>
    </row>
    <row r="52" spans="1:23" x14ac:dyDescent="0.25">
      <c r="A52" s="25">
        <f t="shared" si="11"/>
        <v>40</v>
      </c>
      <c r="B52" s="401">
        <f t="shared" si="11"/>
        <v>46140</v>
      </c>
      <c r="C52" s="402"/>
      <c r="D52" s="110">
        <f t="shared" si="2"/>
        <v>94000</v>
      </c>
      <c r="E52" s="99"/>
      <c r="F52" s="99"/>
      <c r="G52" s="135">
        <v>0</v>
      </c>
      <c r="H52" s="102">
        <f>('Consumption Guide'!G47*O52)/1000</f>
        <v>14240</v>
      </c>
      <c r="I52" s="225">
        <f t="shared" si="0"/>
        <v>-202960</v>
      </c>
      <c r="J52" s="103">
        <f t="shared" si="5"/>
        <v>0</v>
      </c>
      <c r="K52" s="129"/>
      <c r="L52" s="130"/>
      <c r="M52" s="134"/>
      <c r="N52" s="99"/>
      <c r="O52" s="113">
        <f t="shared" si="10"/>
        <v>80000</v>
      </c>
      <c r="P52" s="136"/>
      <c r="Q52" s="102"/>
      <c r="R52" s="107">
        <f t="shared" si="6"/>
        <v>0</v>
      </c>
      <c r="S52" s="108"/>
      <c r="T52" s="109"/>
      <c r="U52" s="108"/>
      <c r="V52" s="91"/>
      <c r="W52" s="92"/>
    </row>
    <row r="53" spans="1:23" x14ac:dyDescent="0.25">
      <c r="A53" s="139">
        <f t="shared" si="11"/>
        <v>41</v>
      </c>
      <c r="B53" s="401">
        <f t="shared" si="11"/>
        <v>46141</v>
      </c>
      <c r="C53" s="402"/>
      <c r="D53" s="140">
        <f t="shared" si="2"/>
        <v>94000</v>
      </c>
      <c r="E53" s="99"/>
      <c r="F53" s="99"/>
      <c r="G53" s="135">
        <v>0</v>
      </c>
      <c r="H53" s="141">
        <f>('Consumption Guide'!G48*O53)/1000</f>
        <v>14400</v>
      </c>
      <c r="I53" s="226">
        <f t="shared" si="0"/>
        <v>-217360</v>
      </c>
      <c r="J53" s="103">
        <f t="shared" si="5"/>
        <v>0</v>
      </c>
      <c r="K53" s="138"/>
      <c r="L53" s="99"/>
      <c r="M53" s="142"/>
      <c r="N53" s="130"/>
      <c r="O53" s="113">
        <f t="shared" si="10"/>
        <v>80000</v>
      </c>
      <c r="P53" s="136"/>
      <c r="Q53" s="102"/>
      <c r="R53" s="107">
        <f t="shared" si="6"/>
        <v>0</v>
      </c>
      <c r="S53" s="108"/>
      <c r="T53" s="109"/>
      <c r="U53" s="108"/>
      <c r="V53" s="91"/>
      <c r="W53" s="92"/>
    </row>
    <row r="54" spans="1:23" x14ac:dyDescent="0.25">
      <c r="A54" s="25">
        <f t="shared" si="11"/>
        <v>42</v>
      </c>
      <c r="B54" s="401">
        <f t="shared" si="11"/>
        <v>46142</v>
      </c>
      <c r="C54" s="402"/>
      <c r="D54" s="110">
        <f t="shared" si="2"/>
        <v>94000</v>
      </c>
      <c r="E54" s="99"/>
      <c r="F54" s="99"/>
      <c r="G54" s="135">
        <v>0</v>
      </c>
      <c r="H54" s="102">
        <f>('Consumption Guide'!G49*O54)/1000</f>
        <v>14480</v>
      </c>
      <c r="I54" s="225">
        <f t="shared" si="0"/>
        <v>-231840</v>
      </c>
      <c r="J54" s="103">
        <f t="shared" si="5"/>
        <v>0</v>
      </c>
      <c r="K54" s="138"/>
      <c r="L54" s="99"/>
      <c r="M54" s="142"/>
      <c r="N54" s="99"/>
      <c r="O54" s="113">
        <f t="shared" si="10"/>
        <v>80000</v>
      </c>
      <c r="P54" s="136"/>
      <c r="Q54" s="102"/>
      <c r="R54" s="107">
        <f t="shared" si="6"/>
        <v>0</v>
      </c>
      <c r="S54" s="108"/>
      <c r="T54" s="109"/>
      <c r="U54" s="109"/>
      <c r="V54" s="91"/>
      <c r="W54" s="92"/>
    </row>
    <row r="55" spans="1:23" x14ac:dyDescent="0.25">
      <c r="A55" s="25">
        <f t="shared" si="11"/>
        <v>43</v>
      </c>
      <c r="B55" s="401">
        <f t="shared" si="11"/>
        <v>46143</v>
      </c>
      <c r="C55" s="402"/>
      <c r="D55" s="110">
        <f t="shared" si="2"/>
        <v>94000</v>
      </c>
      <c r="E55" s="99"/>
      <c r="F55" s="99"/>
      <c r="G55" s="135">
        <v>0</v>
      </c>
      <c r="H55" s="102">
        <f>('Consumption Guide'!G50*O55)/1000</f>
        <v>15040</v>
      </c>
      <c r="I55" s="225">
        <f t="shared" si="0"/>
        <v>-246880</v>
      </c>
      <c r="J55" s="103">
        <f t="shared" si="5"/>
        <v>0</v>
      </c>
      <c r="K55" s="138"/>
      <c r="L55" s="99"/>
      <c r="M55" s="118"/>
      <c r="N55" s="99"/>
      <c r="O55" s="113">
        <f t="shared" si="10"/>
        <v>80000</v>
      </c>
      <c r="P55" s="136"/>
      <c r="Q55" s="102"/>
      <c r="R55" s="107">
        <f t="shared" si="6"/>
        <v>0</v>
      </c>
      <c r="S55" s="108"/>
      <c r="T55" s="109"/>
      <c r="U55" s="108"/>
      <c r="V55" s="91"/>
      <c r="W55" s="92"/>
    </row>
    <row r="56" spans="1:23" x14ac:dyDescent="0.25">
      <c r="A56" s="25">
        <f t="shared" si="11"/>
        <v>44</v>
      </c>
      <c r="B56" s="401">
        <f t="shared" si="11"/>
        <v>46144</v>
      </c>
      <c r="C56" s="402"/>
      <c r="D56" s="110">
        <f t="shared" si="2"/>
        <v>94000</v>
      </c>
      <c r="E56" s="99"/>
      <c r="F56" s="99"/>
      <c r="G56" s="135">
        <v>0</v>
      </c>
      <c r="H56" s="102">
        <f>('Consumption Guide'!G51*O56)/1000</f>
        <v>15200</v>
      </c>
      <c r="I56" s="225">
        <f t="shared" si="0"/>
        <v>-262080</v>
      </c>
      <c r="J56" s="103">
        <f t="shared" si="5"/>
        <v>0</v>
      </c>
      <c r="K56" s="138"/>
      <c r="L56" s="99"/>
      <c r="M56" s="118"/>
      <c r="N56" s="130"/>
      <c r="O56" s="113">
        <f t="shared" si="10"/>
        <v>80000</v>
      </c>
      <c r="P56" s="136"/>
      <c r="Q56" s="102"/>
      <c r="R56" s="107">
        <f t="shared" si="6"/>
        <v>0</v>
      </c>
      <c r="S56" s="108"/>
      <c r="T56" s="109"/>
      <c r="U56" s="108"/>
      <c r="V56" s="91"/>
      <c r="W56" s="92"/>
    </row>
    <row r="57" spans="1:23" s="124" customFormat="1" x14ac:dyDescent="0.25">
      <c r="A57" s="124">
        <f t="shared" si="11"/>
        <v>45</v>
      </c>
      <c r="B57" s="401">
        <f t="shared" si="11"/>
        <v>46145</v>
      </c>
      <c r="C57" s="402"/>
      <c r="D57" s="110">
        <f t="shared" si="2"/>
        <v>94000</v>
      </c>
      <c r="E57" s="99"/>
      <c r="F57" s="99"/>
      <c r="G57" s="135">
        <v>0</v>
      </c>
      <c r="H57" s="102">
        <f>('Consumption Guide'!G52*O57)/1000</f>
        <v>15360</v>
      </c>
      <c r="I57" s="102">
        <f t="shared" si="0"/>
        <v>-277440</v>
      </c>
      <c r="J57" s="103">
        <f t="shared" si="5"/>
        <v>0</v>
      </c>
      <c r="K57" s="138"/>
      <c r="L57" s="99"/>
      <c r="M57" s="118"/>
      <c r="N57" s="99"/>
      <c r="O57" s="113">
        <f t="shared" si="10"/>
        <v>80000</v>
      </c>
      <c r="P57" s="136"/>
      <c r="Q57" s="102"/>
      <c r="R57" s="107">
        <f t="shared" si="6"/>
        <v>0</v>
      </c>
      <c r="S57" s="108"/>
      <c r="T57" s="109"/>
      <c r="U57" s="109"/>
      <c r="V57" s="127"/>
      <c r="W57" s="128"/>
    </row>
    <row r="58" spans="1:23" s="124" customFormat="1" x14ac:dyDescent="0.25">
      <c r="A58" s="124">
        <f t="shared" si="11"/>
        <v>46</v>
      </c>
      <c r="B58" s="401">
        <f t="shared" si="11"/>
        <v>46146</v>
      </c>
      <c r="C58" s="402"/>
      <c r="D58" s="110">
        <f t="shared" si="2"/>
        <v>94000</v>
      </c>
      <c r="E58" s="99"/>
      <c r="F58" s="99"/>
      <c r="G58" s="135">
        <v>0</v>
      </c>
      <c r="H58" s="102">
        <f>('Consumption Guide'!G53*O58)/1000</f>
        <v>15440</v>
      </c>
      <c r="I58" s="225">
        <f t="shared" si="0"/>
        <v>-292880</v>
      </c>
      <c r="J58" s="103">
        <v>0</v>
      </c>
      <c r="K58" s="138"/>
      <c r="L58" s="99"/>
      <c r="M58" s="118"/>
      <c r="N58" s="99"/>
      <c r="O58" s="113">
        <f t="shared" si="10"/>
        <v>80000</v>
      </c>
      <c r="P58" s="136"/>
      <c r="Q58" s="102"/>
      <c r="R58" s="107">
        <f t="shared" si="6"/>
        <v>0</v>
      </c>
      <c r="S58" s="108"/>
      <c r="T58" s="109"/>
      <c r="U58" s="109"/>
      <c r="V58" s="127"/>
      <c r="W58" s="128"/>
    </row>
    <row r="59" spans="1:23" s="124" customFormat="1" x14ac:dyDescent="0.25">
      <c r="A59" s="124">
        <f t="shared" si="11"/>
        <v>47</v>
      </c>
      <c r="B59" s="401">
        <f t="shared" si="11"/>
        <v>46147</v>
      </c>
      <c r="C59" s="402"/>
      <c r="D59" s="110">
        <f>D58+E59</f>
        <v>94000</v>
      </c>
      <c r="E59" s="99"/>
      <c r="F59" s="99"/>
      <c r="G59" s="135">
        <v>0</v>
      </c>
      <c r="H59" s="102">
        <f>('Consumption Guide'!G54*O59)/1000</f>
        <v>15520</v>
      </c>
      <c r="I59" s="102">
        <f t="shared" si="0"/>
        <v>-308400</v>
      </c>
      <c r="J59" s="103">
        <f t="shared" si="5"/>
        <v>0</v>
      </c>
      <c r="K59" s="138"/>
      <c r="L59" s="99"/>
      <c r="M59" s="118"/>
      <c r="N59" s="99"/>
      <c r="O59" s="113">
        <f t="shared" si="10"/>
        <v>80000</v>
      </c>
      <c r="P59" s="136"/>
      <c r="Q59" s="102"/>
      <c r="R59" s="107">
        <f t="shared" si="6"/>
        <v>0</v>
      </c>
      <c r="S59" s="108"/>
      <c r="T59" s="109"/>
      <c r="U59" s="108"/>
      <c r="V59" s="127"/>
      <c r="W59" s="128"/>
    </row>
    <row r="60" spans="1:23" s="124" customFormat="1" x14ac:dyDescent="0.25">
      <c r="A60" s="124">
        <f t="shared" si="11"/>
        <v>48</v>
      </c>
      <c r="B60" s="401">
        <f t="shared" si="11"/>
        <v>46148</v>
      </c>
      <c r="C60" s="402"/>
      <c r="D60" s="110">
        <f t="shared" si="2"/>
        <v>94000</v>
      </c>
      <c r="E60" s="99"/>
      <c r="F60" s="99"/>
      <c r="G60" s="135">
        <v>0</v>
      </c>
      <c r="H60" s="102">
        <f>('Consumption Guide'!G55*O60)/1000</f>
        <v>15600</v>
      </c>
      <c r="I60" s="225">
        <f t="shared" si="0"/>
        <v>-324000</v>
      </c>
      <c r="J60" s="103">
        <f t="shared" si="5"/>
        <v>0</v>
      </c>
      <c r="K60" s="138"/>
      <c r="L60" s="99"/>
      <c r="M60" s="118"/>
      <c r="N60" s="16"/>
      <c r="O60" s="113">
        <f t="shared" si="10"/>
        <v>80000</v>
      </c>
      <c r="P60" s="136"/>
      <c r="Q60" s="102"/>
      <c r="R60" s="107">
        <f t="shared" si="6"/>
        <v>0</v>
      </c>
      <c r="S60" s="108"/>
      <c r="T60" s="109"/>
      <c r="U60" s="108"/>
      <c r="V60" s="127"/>
      <c r="W60" s="128"/>
    </row>
    <row r="61" spans="1:23" s="124" customFormat="1" x14ac:dyDescent="0.25">
      <c r="A61" s="124">
        <f t="shared" si="11"/>
        <v>49</v>
      </c>
      <c r="B61" s="401">
        <f t="shared" si="11"/>
        <v>46149</v>
      </c>
      <c r="C61" s="402"/>
      <c r="D61" s="110">
        <f>D60+E61</f>
        <v>94000</v>
      </c>
      <c r="E61" s="99"/>
      <c r="F61" s="99"/>
      <c r="G61" s="135">
        <v>0</v>
      </c>
      <c r="H61" s="102">
        <f>('Consumption Guide'!G56*O61)/1000</f>
        <v>15680</v>
      </c>
      <c r="I61" s="225">
        <f>IF((J61&gt;0),(J61-H61+E61),(I60-H61+E61))</f>
        <v>-339680</v>
      </c>
      <c r="J61" s="103">
        <f t="shared" si="5"/>
        <v>0</v>
      </c>
      <c r="K61" s="138"/>
      <c r="L61" s="99"/>
      <c r="M61" s="118"/>
      <c r="N61" s="99"/>
      <c r="O61" s="113">
        <f>SUM(O60-N61)</f>
        <v>80000</v>
      </c>
      <c r="P61" s="136"/>
      <c r="Q61" s="102"/>
      <c r="R61" s="107">
        <f t="shared" si="6"/>
        <v>0</v>
      </c>
      <c r="S61" s="108"/>
      <c r="T61" s="109"/>
      <c r="U61" s="108"/>
      <c r="V61" s="127"/>
      <c r="W61" s="128"/>
    </row>
    <row r="62" spans="1:23" s="124" customFormat="1" x14ac:dyDescent="0.25">
      <c r="A62" s="124">
        <f t="shared" si="11"/>
        <v>50</v>
      </c>
      <c r="B62" s="401">
        <f t="shared" si="11"/>
        <v>46150</v>
      </c>
      <c r="C62" s="402"/>
      <c r="D62" s="110">
        <f t="shared" si="2"/>
        <v>94000</v>
      </c>
      <c r="E62" s="99"/>
      <c r="F62" s="99"/>
      <c r="G62" s="135">
        <v>0</v>
      </c>
      <c r="H62" s="102">
        <f>('Consumption Guide'!G57*O62)/1000</f>
        <v>15760</v>
      </c>
      <c r="I62" s="102">
        <f t="shared" si="0"/>
        <v>-355440</v>
      </c>
      <c r="J62" s="103">
        <f t="shared" si="5"/>
        <v>0</v>
      </c>
      <c r="K62" s="138"/>
      <c r="L62" s="99"/>
      <c r="M62" s="118"/>
      <c r="N62" s="130"/>
      <c r="O62" s="113">
        <f>SUM(O61-N62)</f>
        <v>80000</v>
      </c>
      <c r="P62" s="136"/>
      <c r="Q62" s="102"/>
      <c r="R62" s="107">
        <f t="shared" si="6"/>
        <v>0</v>
      </c>
      <c r="S62" s="108"/>
      <c r="T62" s="109"/>
      <c r="U62" s="108"/>
      <c r="V62" s="127"/>
      <c r="W62" s="128"/>
    </row>
    <row r="63" spans="1:23" s="124" customFormat="1" x14ac:dyDescent="0.25">
      <c r="A63" s="124">
        <f t="shared" ref="A63:B72" si="12">A62+1</f>
        <v>51</v>
      </c>
      <c r="B63" s="401">
        <f t="shared" si="12"/>
        <v>46151</v>
      </c>
      <c r="C63" s="402"/>
      <c r="D63" s="110">
        <f t="shared" si="2"/>
        <v>94000</v>
      </c>
      <c r="E63" s="99"/>
      <c r="F63" s="99"/>
      <c r="G63" s="135">
        <v>0</v>
      </c>
      <c r="H63" s="102">
        <f>('Consumption Guide'!G58*O63)/1000</f>
        <v>15760</v>
      </c>
      <c r="I63" s="102">
        <f t="shared" si="0"/>
        <v>-371200</v>
      </c>
      <c r="J63" s="103">
        <f>(K63+M63+L63)</f>
        <v>0</v>
      </c>
      <c r="K63" s="138"/>
      <c r="L63" s="99"/>
      <c r="M63" s="118"/>
      <c r="N63" s="99"/>
      <c r="O63" s="113">
        <f t="shared" si="10"/>
        <v>80000</v>
      </c>
      <c r="P63" s="143"/>
      <c r="Q63" s="102"/>
      <c r="R63" s="107">
        <f t="shared" si="6"/>
        <v>0</v>
      </c>
      <c r="S63" s="108"/>
      <c r="T63" s="109"/>
      <c r="U63" s="109"/>
      <c r="V63" s="127"/>
      <c r="W63" s="128"/>
    </row>
    <row r="64" spans="1:23" s="124" customFormat="1" x14ac:dyDescent="0.25">
      <c r="A64" s="124">
        <f t="shared" si="12"/>
        <v>52</v>
      </c>
      <c r="B64" s="401">
        <f t="shared" si="12"/>
        <v>46152</v>
      </c>
      <c r="C64" s="402"/>
      <c r="D64" s="110">
        <f t="shared" si="2"/>
        <v>94000</v>
      </c>
      <c r="E64" s="99"/>
      <c r="F64" s="99"/>
      <c r="G64" s="135">
        <v>0</v>
      </c>
      <c r="H64" s="102">
        <f>('Consumption Guide'!G59*O64)/1000</f>
        <v>15760</v>
      </c>
      <c r="I64" s="102">
        <f t="shared" si="0"/>
        <v>-386960</v>
      </c>
      <c r="J64" s="103">
        <f>(K64+M64+L64)</f>
        <v>0</v>
      </c>
      <c r="K64" s="138"/>
      <c r="L64" s="99"/>
      <c r="M64" s="119"/>
      <c r="N64" s="99"/>
      <c r="O64" s="113">
        <f t="shared" si="10"/>
        <v>80000</v>
      </c>
      <c r="P64" s="136"/>
      <c r="Q64" s="102"/>
      <c r="R64" s="107">
        <f t="shared" si="6"/>
        <v>0</v>
      </c>
      <c r="S64" s="108"/>
      <c r="T64" s="109"/>
      <c r="U64" s="144"/>
      <c r="V64" s="127"/>
      <c r="W64" s="128"/>
    </row>
    <row r="65" spans="1:23" s="124" customFormat="1" x14ac:dyDescent="0.25">
      <c r="A65" s="124">
        <f t="shared" si="12"/>
        <v>53</v>
      </c>
      <c r="B65" s="401">
        <f t="shared" si="12"/>
        <v>46153</v>
      </c>
      <c r="C65" s="402"/>
      <c r="D65" s="110">
        <f t="shared" si="2"/>
        <v>94000</v>
      </c>
      <c r="E65" s="99"/>
      <c r="F65" s="99"/>
      <c r="G65" s="135">
        <v>0</v>
      </c>
      <c r="H65" s="102">
        <f>('Consumption Guide'!G60*O65)/1000</f>
        <v>15840</v>
      </c>
      <c r="I65" s="102">
        <f t="shared" si="0"/>
        <v>-402800</v>
      </c>
      <c r="J65" s="103">
        <f>(K65+M65+L65)</f>
        <v>0</v>
      </c>
      <c r="K65" s="138"/>
      <c r="L65" s="99"/>
      <c r="M65" s="119"/>
      <c r="N65" s="99"/>
      <c r="O65" s="113">
        <f t="shared" si="10"/>
        <v>80000</v>
      </c>
      <c r="P65" s="136"/>
      <c r="Q65" s="102"/>
      <c r="R65" s="107">
        <f t="shared" si="6"/>
        <v>0</v>
      </c>
      <c r="S65" s="108"/>
      <c r="T65" s="109"/>
      <c r="U65" s="109"/>
      <c r="V65" s="127"/>
      <c r="W65" s="128"/>
    </row>
    <row r="66" spans="1:23" s="124" customFormat="1" x14ac:dyDescent="0.25">
      <c r="A66" s="124">
        <f t="shared" si="12"/>
        <v>54</v>
      </c>
      <c r="B66" s="401">
        <f t="shared" si="12"/>
        <v>46154</v>
      </c>
      <c r="C66" s="402"/>
      <c r="D66" s="110">
        <f t="shared" si="2"/>
        <v>94000</v>
      </c>
      <c r="E66" s="99"/>
      <c r="F66" s="99"/>
      <c r="G66" s="135">
        <v>0</v>
      </c>
      <c r="H66" s="102">
        <f>('Consumption Guide'!G61*O66)/1000</f>
        <v>15760</v>
      </c>
      <c r="I66" s="225">
        <f t="shared" si="0"/>
        <v>-418560</v>
      </c>
      <c r="J66" s="103">
        <f>(K66+M66+L66)</f>
        <v>0</v>
      </c>
      <c r="K66" s="138"/>
      <c r="L66" s="99"/>
      <c r="M66" s="119"/>
      <c r="N66" s="99"/>
      <c r="O66" s="113">
        <f t="shared" si="10"/>
        <v>80000</v>
      </c>
      <c r="P66" s="173"/>
      <c r="Q66" s="102"/>
      <c r="R66" s="107">
        <f t="shared" si="6"/>
        <v>0</v>
      </c>
      <c r="S66" s="108"/>
      <c r="T66" s="109"/>
      <c r="U66" s="109"/>
      <c r="V66" s="127"/>
      <c r="W66" s="128"/>
    </row>
    <row r="67" spans="1:23" s="124" customFormat="1" x14ac:dyDescent="0.25">
      <c r="A67" s="124">
        <f t="shared" si="12"/>
        <v>55</v>
      </c>
      <c r="B67" s="401">
        <f t="shared" si="12"/>
        <v>46155</v>
      </c>
      <c r="C67" s="402"/>
      <c r="D67" s="110">
        <f t="shared" si="2"/>
        <v>94000</v>
      </c>
      <c r="E67" s="99"/>
      <c r="F67" s="99"/>
      <c r="G67" s="135">
        <v>0</v>
      </c>
      <c r="H67" s="102">
        <f>('Consumption Guide'!G62*O67)/1000</f>
        <v>15840</v>
      </c>
      <c r="I67" s="225">
        <f t="shared" si="0"/>
        <v>-434400</v>
      </c>
      <c r="J67" s="103">
        <f t="shared" si="5"/>
        <v>0</v>
      </c>
      <c r="K67" s="138"/>
      <c r="L67" s="99"/>
      <c r="M67" s="119"/>
      <c r="N67" s="99"/>
      <c r="O67" s="113">
        <f t="shared" si="10"/>
        <v>80000</v>
      </c>
      <c r="P67" s="136"/>
      <c r="Q67" s="102"/>
      <c r="R67" s="107">
        <f t="shared" si="6"/>
        <v>0</v>
      </c>
      <c r="S67" s="108"/>
      <c r="T67" s="109"/>
      <c r="U67" s="109"/>
      <c r="V67" s="127"/>
      <c r="W67" s="128"/>
    </row>
    <row r="68" spans="1:23" x14ac:dyDescent="0.25">
      <c r="A68" s="25">
        <f t="shared" si="12"/>
        <v>56</v>
      </c>
      <c r="B68" s="401">
        <f t="shared" si="12"/>
        <v>46156</v>
      </c>
      <c r="C68" s="402"/>
      <c r="D68" s="110">
        <f t="shared" si="2"/>
        <v>94000</v>
      </c>
      <c r="E68" s="99"/>
      <c r="F68" s="99"/>
      <c r="G68" s="135">
        <v>0</v>
      </c>
      <c r="H68" s="102">
        <f>('Consumption Guide'!G63*O68)/1000</f>
        <v>15760</v>
      </c>
      <c r="I68" s="225">
        <f t="shared" si="0"/>
        <v>-450160</v>
      </c>
      <c r="J68" s="103">
        <f t="shared" si="5"/>
        <v>0</v>
      </c>
      <c r="K68" s="145"/>
      <c r="L68" s="97"/>
      <c r="M68" s="119"/>
      <c r="N68" s="130"/>
      <c r="O68" s="113">
        <f t="shared" si="10"/>
        <v>80000</v>
      </c>
      <c r="P68" s="136"/>
      <c r="Q68" s="102"/>
      <c r="R68" s="107">
        <f t="shared" si="6"/>
        <v>0</v>
      </c>
      <c r="S68" s="108"/>
      <c r="T68" s="109"/>
      <c r="U68" s="109"/>
      <c r="V68" s="91"/>
      <c r="W68" s="92"/>
    </row>
    <row r="69" spans="1:23" s="124" customFormat="1" x14ac:dyDescent="0.25">
      <c r="A69" s="124">
        <f t="shared" si="12"/>
        <v>57</v>
      </c>
      <c r="B69" s="401">
        <f t="shared" si="12"/>
        <v>46157</v>
      </c>
      <c r="C69" s="402"/>
      <c r="D69" s="110">
        <f t="shared" si="2"/>
        <v>94000</v>
      </c>
      <c r="E69" s="99"/>
      <c r="F69" s="99"/>
      <c r="G69" s="135">
        <f>G68-E69</f>
        <v>0</v>
      </c>
      <c r="H69" s="102">
        <f>('Consumption Guide'!G64*O69)/1000</f>
        <v>15600</v>
      </c>
      <c r="I69" s="225">
        <f t="shared" si="0"/>
        <v>-465760</v>
      </c>
      <c r="J69" s="103">
        <f t="shared" si="5"/>
        <v>0</v>
      </c>
      <c r="K69" s="145"/>
      <c r="L69" s="97"/>
      <c r="M69" s="119"/>
      <c r="N69" s="130"/>
      <c r="O69" s="113">
        <f t="shared" si="10"/>
        <v>80000</v>
      </c>
      <c r="P69" s="136"/>
      <c r="Q69" s="102"/>
      <c r="R69" s="107">
        <f t="shared" si="6"/>
        <v>0</v>
      </c>
      <c r="S69" s="108"/>
      <c r="T69" s="109"/>
      <c r="U69" s="109"/>
      <c r="V69" s="127"/>
      <c r="W69" s="128"/>
    </row>
    <row r="70" spans="1:23" x14ac:dyDescent="0.25">
      <c r="A70" s="25">
        <f t="shared" si="12"/>
        <v>58</v>
      </c>
      <c r="B70" s="401">
        <f t="shared" si="12"/>
        <v>46158</v>
      </c>
      <c r="C70" s="402"/>
      <c r="D70" s="110">
        <f t="shared" si="2"/>
        <v>94000</v>
      </c>
      <c r="E70" s="99"/>
      <c r="F70" s="99"/>
      <c r="G70" s="135">
        <f>G69-E70</f>
        <v>0</v>
      </c>
      <c r="H70" s="102">
        <f>('Consumption Guide'!G65*O70)/1000</f>
        <v>15600</v>
      </c>
      <c r="I70" s="225">
        <f t="shared" si="0"/>
        <v>-481360</v>
      </c>
      <c r="J70" s="103">
        <v>0</v>
      </c>
      <c r="K70" s="146"/>
      <c r="L70" s="147"/>
      <c r="M70" s="148"/>
      <c r="N70" s="130"/>
      <c r="O70" s="102">
        <f t="shared" si="10"/>
        <v>80000</v>
      </c>
      <c r="P70" s="107"/>
      <c r="Q70" s="102"/>
      <c r="R70" s="107">
        <f t="shared" si="6"/>
        <v>0</v>
      </c>
      <c r="S70" s="108"/>
      <c r="T70" s="109"/>
      <c r="U70" s="109"/>
      <c r="V70" s="91"/>
      <c r="W70" s="23"/>
    </row>
    <row r="71" spans="1:23" x14ac:dyDescent="0.25">
      <c r="A71" s="25">
        <f t="shared" si="12"/>
        <v>59</v>
      </c>
      <c r="B71" s="401">
        <f t="shared" si="12"/>
        <v>46159</v>
      </c>
      <c r="C71" s="402"/>
      <c r="D71" s="110">
        <f t="shared" si="2"/>
        <v>94000</v>
      </c>
      <c r="E71" s="99"/>
      <c r="F71" s="99"/>
      <c r="G71" s="99"/>
      <c r="H71" s="102">
        <f>('Consumption Guide'!G66*O71)/1000</f>
        <v>15600</v>
      </c>
      <c r="I71" s="225">
        <f t="shared" si="0"/>
        <v>-496960</v>
      </c>
      <c r="J71" s="103">
        <f t="shared" si="5"/>
        <v>0</v>
      </c>
      <c r="K71" s="146"/>
      <c r="L71" s="147"/>
      <c r="M71" s="148"/>
      <c r="N71" s="130"/>
      <c r="O71" s="102">
        <f t="shared" si="10"/>
        <v>80000</v>
      </c>
      <c r="P71" s="136"/>
      <c r="Q71" s="102"/>
      <c r="R71" s="107">
        <f t="shared" si="6"/>
        <v>0</v>
      </c>
      <c r="S71" s="108"/>
      <c r="T71" s="109"/>
      <c r="U71" s="109"/>
      <c r="V71" s="91"/>
      <c r="W71" s="23"/>
    </row>
    <row r="72" spans="1:23" ht="23.25" thickBot="1" x14ac:dyDescent="0.3">
      <c r="A72" s="25">
        <f t="shared" si="12"/>
        <v>60</v>
      </c>
      <c r="B72" s="403"/>
      <c r="C72" s="404"/>
      <c r="D72" s="149">
        <f t="shared" si="2"/>
        <v>94000</v>
      </c>
      <c r="E72" s="150"/>
      <c r="F72" s="150"/>
      <c r="G72" s="150"/>
      <c r="H72" s="151">
        <f>('Consumption Guide'!G67*O72)/1000</f>
        <v>15600</v>
      </c>
      <c r="I72" s="227">
        <f t="shared" si="0"/>
        <v>-512560</v>
      </c>
      <c r="J72" s="152">
        <f t="shared" si="5"/>
        <v>0</v>
      </c>
      <c r="K72" s="153"/>
      <c r="L72" s="154"/>
      <c r="M72" s="155"/>
      <c r="N72" s="156"/>
      <c r="O72" s="151">
        <f t="shared" si="10"/>
        <v>80000</v>
      </c>
      <c r="P72" s="157"/>
      <c r="Q72" s="158"/>
      <c r="R72" s="107">
        <f t="shared" si="6"/>
        <v>0</v>
      </c>
      <c r="S72" s="108"/>
      <c r="T72" s="109"/>
      <c r="U72" s="109"/>
      <c r="V72" s="91"/>
      <c r="W72" s="23"/>
    </row>
    <row r="73" spans="1:23" x14ac:dyDescent="0.25">
      <c r="A73" s="83"/>
      <c r="B73" s="159"/>
      <c r="C73" s="160"/>
      <c r="D73" s="78"/>
      <c r="E73" s="78"/>
      <c r="F73" s="78"/>
      <c r="G73" s="78"/>
      <c r="H73" s="66"/>
      <c r="I73" s="66"/>
      <c r="J73" s="161"/>
      <c r="K73" s="405" t="s">
        <v>50</v>
      </c>
      <c r="L73" s="406"/>
      <c r="M73" s="407"/>
      <c r="N73" s="42">
        <f>N51</f>
        <v>0</v>
      </c>
      <c r="O73" s="66"/>
      <c r="P73" s="67"/>
      <c r="Q73" s="39"/>
      <c r="R73" s="39"/>
      <c r="S73" s="162"/>
      <c r="T73" s="90"/>
      <c r="U73" s="89"/>
      <c r="V73" s="91"/>
    </row>
    <row r="74" spans="1:23" x14ac:dyDescent="0.25">
      <c r="B74" s="163"/>
      <c r="C74" s="164"/>
      <c r="D74" s="19"/>
      <c r="E74" s="19"/>
      <c r="F74" s="19"/>
      <c r="G74" s="19"/>
      <c r="H74" s="39"/>
      <c r="I74" s="39"/>
      <c r="J74" s="17"/>
      <c r="K74" s="408" t="s">
        <v>51</v>
      </c>
      <c r="L74" s="409"/>
      <c r="M74" s="410"/>
      <c r="N74" s="165">
        <f>N44+N46+N47+N54+N55+N63+N64</f>
        <v>0</v>
      </c>
      <c r="O74" s="39"/>
      <c r="P74" s="29"/>
      <c r="Q74" s="39"/>
      <c r="R74" s="39"/>
      <c r="S74" s="89"/>
      <c r="T74" s="90"/>
      <c r="U74" s="89"/>
      <c r="V74" s="91"/>
    </row>
    <row r="75" spans="1:23" x14ac:dyDescent="0.25">
      <c r="B75" s="163"/>
      <c r="C75" s="411" t="s">
        <v>45</v>
      </c>
      <c r="D75" s="412"/>
      <c r="E75" s="166">
        <f>SUM(E12:E72)</f>
        <v>94000</v>
      </c>
      <c r="F75" s="19"/>
      <c r="G75" s="19">
        <f>SUM(E47:E65)</f>
        <v>0</v>
      </c>
      <c r="H75" s="39"/>
      <c r="I75" s="39"/>
      <c r="J75" s="17"/>
      <c r="K75" s="161"/>
      <c r="L75" s="161"/>
      <c r="M75" s="161"/>
      <c r="N75" s="17"/>
      <c r="O75" s="39"/>
      <c r="P75" s="29"/>
      <c r="Q75" s="39"/>
      <c r="R75" s="39"/>
      <c r="S75" s="89"/>
      <c r="T75" s="90"/>
      <c r="U75" s="89"/>
      <c r="V75" s="91"/>
    </row>
    <row r="76" spans="1:23" x14ac:dyDescent="0.25">
      <c r="B76" s="163"/>
      <c r="C76" s="164"/>
      <c r="D76" s="19"/>
      <c r="E76" s="19"/>
      <c r="F76" s="19"/>
      <c r="G76" s="19"/>
      <c r="H76" s="39"/>
      <c r="I76" s="39"/>
      <c r="J76" s="17"/>
      <c r="K76" s="17"/>
      <c r="L76" s="17"/>
      <c r="M76" s="17"/>
      <c r="N76" s="17"/>
      <c r="O76" s="39"/>
      <c r="P76" s="29"/>
      <c r="Q76" s="39"/>
      <c r="R76" s="39"/>
      <c r="S76" s="89"/>
      <c r="T76" s="90"/>
      <c r="U76" s="89"/>
      <c r="V76" s="91"/>
    </row>
    <row r="77" spans="1:23" x14ac:dyDescent="0.25">
      <c r="B77" s="163"/>
      <c r="C77" s="164"/>
      <c r="D77" s="167">
        <f>E75/C2</f>
        <v>1.175</v>
      </c>
      <c r="E77" s="168" t="s">
        <v>46</v>
      </c>
      <c r="F77" s="19"/>
      <c r="G77" s="19"/>
      <c r="H77" s="39"/>
      <c r="I77" s="39"/>
      <c r="J77" s="17"/>
      <c r="K77" s="17"/>
      <c r="L77" s="17"/>
      <c r="M77" s="17"/>
      <c r="N77" s="17"/>
      <c r="O77" s="39"/>
      <c r="P77" s="29"/>
      <c r="Q77" s="39"/>
      <c r="R77" s="39"/>
      <c r="S77" s="89"/>
      <c r="T77" s="90"/>
      <c r="U77" s="89"/>
      <c r="V77" s="91"/>
    </row>
    <row r="78" spans="1:23" x14ac:dyDescent="0.25">
      <c r="B78" s="163"/>
      <c r="C78" s="164"/>
      <c r="D78" s="19"/>
      <c r="E78" s="19"/>
      <c r="F78" s="19"/>
      <c r="G78" s="19"/>
      <c r="H78" s="39"/>
      <c r="I78" s="39"/>
      <c r="J78" s="17"/>
      <c r="K78" s="17"/>
      <c r="L78" s="17"/>
      <c r="M78" s="17"/>
      <c r="N78" s="17"/>
      <c r="O78" s="39">
        <f>N33+N51</f>
        <v>0</v>
      </c>
      <c r="P78" s="29"/>
      <c r="Q78" s="39"/>
      <c r="R78" s="17"/>
      <c r="S78" s="89"/>
      <c r="T78" s="90"/>
      <c r="U78" s="89"/>
      <c r="V78" s="91"/>
    </row>
  </sheetData>
  <mergeCells count="65">
    <mergeCell ref="B71:C71"/>
    <mergeCell ref="B72:C72"/>
    <mergeCell ref="K73:M73"/>
    <mergeCell ref="K74:M74"/>
    <mergeCell ref="C75:D75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8:C5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46:C4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22:C22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conditionalFormatting sqref="I13:I72">
    <cfRule type="expression" dxfId="4" priority="1">
      <formula>$I13:$I72&lt;0.001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N78"/>
  <sheetViews>
    <sheetView zoomScale="70" zoomScaleNormal="70" workbookViewId="0">
      <pane ySplit="10" topLeftCell="A11" activePane="bottomLeft" state="frozen"/>
      <selection activeCell="K39" sqref="K39:K40"/>
      <selection pane="bottomLeft" activeCell="E20" sqref="E20"/>
    </sheetView>
  </sheetViews>
  <sheetFormatPr defaultColWidth="14.6953125" defaultRowHeight="22.5" x14ac:dyDescent="0.25"/>
  <cols>
    <col min="1" max="1" width="5.52734375" style="25" customWidth="1"/>
    <col min="2" max="2" width="16.5859375" style="25" customWidth="1"/>
    <col min="3" max="3" width="38.43359375" style="25" customWidth="1"/>
    <col min="4" max="4" width="14.5625" style="57" customWidth="1"/>
    <col min="5" max="5" width="17.6640625" style="57" customWidth="1"/>
    <col min="6" max="6" width="10.11328125" style="57" customWidth="1"/>
    <col min="7" max="7" width="14.5625" style="57" customWidth="1"/>
    <col min="8" max="8" width="14.5625" style="25" customWidth="1"/>
    <col min="9" max="9" width="14.29296875" style="25" customWidth="1"/>
    <col min="10" max="10" width="12.40625" style="25" customWidth="1"/>
    <col min="11" max="11" width="11.59375" style="25" customWidth="1"/>
    <col min="12" max="12" width="12.13671875" style="25" customWidth="1"/>
    <col min="13" max="13" width="11.4609375" style="25" customWidth="1"/>
    <col min="14" max="14" width="16.1796875" style="25" customWidth="1"/>
    <col min="15" max="15" width="11.0546875" style="25" customWidth="1"/>
    <col min="16" max="16" width="8.359375" style="169" customWidth="1"/>
    <col min="17" max="17" width="9.4375" style="25" bestFit="1" customWidth="1"/>
    <col min="18" max="18" width="16.98828125" style="25" customWidth="1"/>
    <col min="19" max="19" width="15.37109375" style="24" bestFit="1" customWidth="1"/>
    <col min="20" max="20" width="12.67578125" style="23" customWidth="1"/>
    <col min="21" max="21" width="15.37109375" style="24" bestFit="1" customWidth="1"/>
    <col min="22" max="22" width="12.5390625" style="23" customWidth="1"/>
    <col min="23" max="23" width="11.59375" style="24" customWidth="1"/>
    <col min="24" max="16384" width="14.6953125" style="25"/>
  </cols>
  <sheetData>
    <row r="1" spans="1:40" x14ac:dyDescent="0.25">
      <c r="A1" s="17" t="s">
        <v>28</v>
      </c>
      <c r="B1" s="17"/>
      <c r="C1" s="18" t="s">
        <v>91</v>
      </c>
      <c r="D1" s="19"/>
      <c r="E1" s="19" t="s">
        <v>0</v>
      </c>
      <c r="F1" s="19"/>
      <c r="G1" s="223" t="s">
        <v>72</v>
      </c>
      <c r="H1" s="19"/>
      <c r="I1" s="19"/>
      <c r="J1" s="17"/>
      <c r="K1" s="17"/>
      <c r="L1" s="17"/>
      <c r="M1" s="17"/>
      <c r="N1" s="17"/>
      <c r="O1" s="17"/>
      <c r="P1" s="20"/>
      <c r="Q1" s="17"/>
      <c r="R1" s="17"/>
      <c r="S1" s="21"/>
      <c r="T1" s="22"/>
      <c r="U1" s="21"/>
    </row>
    <row r="2" spans="1:40" ht="21.2" customHeight="1" x14ac:dyDescent="0.25">
      <c r="A2" s="17" t="s">
        <v>29</v>
      </c>
      <c r="B2" s="17"/>
      <c r="C2" s="19">
        <v>80000</v>
      </c>
      <c r="D2" s="19"/>
      <c r="E2" s="19"/>
      <c r="F2" s="19"/>
      <c r="G2" s="26" t="s">
        <v>30</v>
      </c>
      <c r="H2" s="27">
        <f>(C2*0.325)</f>
        <v>26000</v>
      </c>
      <c r="I2" s="28" t="s">
        <v>31</v>
      </c>
      <c r="J2" s="17"/>
      <c r="K2" s="17"/>
      <c r="L2" s="17"/>
      <c r="M2" s="17"/>
      <c r="N2" s="17"/>
      <c r="O2" s="17"/>
      <c r="P2" s="29"/>
      <c r="Q2" s="17"/>
      <c r="R2" s="29"/>
      <c r="S2" s="21"/>
      <c r="T2" s="22"/>
      <c r="U2" s="21"/>
    </row>
    <row r="3" spans="1:40" ht="22.15" customHeight="1" x14ac:dyDescent="0.25">
      <c r="A3" s="17" t="s">
        <v>32</v>
      </c>
      <c r="B3" s="17"/>
      <c r="C3" s="30">
        <v>46104</v>
      </c>
      <c r="D3" s="19"/>
      <c r="E3" s="19"/>
      <c r="F3" s="19"/>
      <c r="G3" s="31" t="s">
        <v>4</v>
      </c>
      <c r="H3" s="32">
        <f>(C2*1.15)</f>
        <v>92000</v>
      </c>
      <c r="I3" s="32" t="s">
        <v>31</v>
      </c>
      <c r="J3" s="413"/>
      <c r="K3" s="414"/>
      <c r="L3" s="414"/>
      <c r="M3" s="415"/>
      <c r="N3" s="33" t="s">
        <v>98</v>
      </c>
      <c r="O3" s="17"/>
      <c r="P3" s="29"/>
      <c r="Q3" s="17"/>
      <c r="R3" s="29"/>
      <c r="S3" s="21"/>
      <c r="T3" s="22"/>
      <c r="U3" s="21"/>
    </row>
    <row r="4" spans="1:40" ht="19.899999999999999" customHeight="1" x14ac:dyDescent="0.25">
      <c r="A4" s="17"/>
      <c r="B4" s="33" t="s">
        <v>98</v>
      </c>
      <c r="C4" s="34">
        <v>40100</v>
      </c>
      <c r="D4" s="35"/>
      <c r="E4" s="19"/>
      <c r="F4" s="19"/>
      <c r="G4" s="36" t="s">
        <v>11</v>
      </c>
      <c r="H4" s="37">
        <f>(C2*1.7)</f>
        <v>136000</v>
      </c>
      <c r="I4" s="37" t="s">
        <v>31</v>
      </c>
      <c r="J4" s="416" t="s">
        <v>58</v>
      </c>
      <c r="K4" s="417"/>
      <c r="L4" s="417"/>
      <c r="M4" s="418"/>
      <c r="N4" s="33" t="s">
        <v>99</v>
      </c>
      <c r="O4" s="17"/>
      <c r="P4" s="29"/>
      <c r="Q4" s="17"/>
      <c r="R4" s="17"/>
      <c r="S4" s="21"/>
      <c r="T4" s="22"/>
      <c r="U4" s="21"/>
    </row>
    <row r="5" spans="1:40" ht="19.149999999999999" customHeight="1" x14ac:dyDescent="0.25">
      <c r="A5" s="17"/>
      <c r="B5" s="33" t="s">
        <v>99</v>
      </c>
      <c r="C5" s="34">
        <v>39200</v>
      </c>
      <c r="D5" s="35"/>
      <c r="E5" s="19"/>
      <c r="F5" s="19"/>
      <c r="G5" s="19" t="s">
        <v>33</v>
      </c>
      <c r="H5" s="17">
        <f>C2*1.5</f>
        <v>120000</v>
      </c>
      <c r="I5" s="38" t="s">
        <v>31</v>
      </c>
      <c r="J5" s="17"/>
      <c r="K5" s="17"/>
      <c r="L5" s="17"/>
      <c r="M5" s="17"/>
      <c r="N5" s="39"/>
      <c r="O5" s="39"/>
      <c r="P5" s="29"/>
      <c r="Q5" s="39"/>
      <c r="R5" s="29"/>
      <c r="S5" s="21"/>
      <c r="T5" s="22"/>
      <c r="U5" s="21"/>
    </row>
    <row r="6" spans="1:40" ht="44.45" customHeight="1" x14ac:dyDescent="0.25">
      <c r="A6" s="17"/>
      <c r="B6" s="17"/>
      <c r="C6" s="40"/>
      <c r="D6" s="35"/>
      <c r="E6" s="19"/>
      <c r="F6" s="19"/>
      <c r="G6" s="19"/>
      <c r="H6" s="17"/>
      <c r="I6" s="41"/>
      <c r="J6" s="17"/>
      <c r="K6" s="17"/>
      <c r="L6" s="17"/>
      <c r="M6" s="17"/>
      <c r="N6" s="39"/>
      <c r="O6" s="39"/>
      <c r="P6" s="29"/>
      <c r="Q6" s="42"/>
      <c r="R6" s="43" t="s">
        <v>54</v>
      </c>
      <c r="S6" s="44" t="s">
        <v>56</v>
      </c>
      <c r="T6" s="45"/>
      <c r="U6" s="44" t="s">
        <v>56</v>
      </c>
      <c r="V6" s="45"/>
    </row>
    <row r="7" spans="1:40" x14ac:dyDescent="0.25">
      <c r="A7" s="17"/>
      <c r="B7" s="17"/>
      <c r="C7" s="17"/>
      <c r="D7" s="19" t="s">
        <v>26</v>
      </c>
      <c r="E7" s="19"/>
      <c r="F7" s="19"/>
      <c r="G7" s="19"/>
      <c r="H7" s="17"/>
      <c r="I7" s="17"/>
      <c r="J7" s="17"/>
      <c r="K7" s="19"/>
      <c r="L7" s="19"/>
      <c r="M7" s="19"/>
      <c r="N7" s="39"/>
      <c r="O7" s="39"/>
      <c r="P7" s="29"/>
      <c r="Q7" s="46" t="s">
        <v>18</v>
      </c>
      <c r="R7" s="43" t="s">
        <v>18</v>
      </c>
      <c r="S7" s="44" t="s">
        <v>57</v>
      </c>
      <c r="T7" s="45"/>
      <c r="U7" s="47" t="s">
        <v>57</v>
      </c>
      <c r="V7" s="45"/>
    </row>
    <row r="8" spans="1:40" s="57" customFormat="1" ht="42.75" thickBot="1" x14ac:dyDescent="0.3">
      <c r="A8" s="48" t="s">
        <v>15</v>
      </c>
      <c r="B8" s="48" t="s">
        <v>16</v>
      </c>
      <c r="C8" s="48" t="s">
        <v>17</v>
      </c>
      <c r="D8" s="48" t="s">
        <v>18</v>
      </c>
      <c r="E8" s="48" t="s">
        <v>34</v>
      </c>
      <c r="F8" s="48"/>
      <c r="G8" s="48" t="s">
        <v>18</v>
      </c>
      <c r="H8" s="48" t="s">
        <v>18</v>
      </c>
      <c r="I8" s="48" t="s">
        <v>18</v>
      </c>
      <c r="J8" s="48" t="s">
        <v>19</v>
      </c>
      <c r="K8" s="49" t="s">
        <v>20</v>
      </c>
      <c r="L8" s="49" t="s">
        <v>19</v>
      </c>
      <c r="M8" s="49" t="s">
        <v>19</v>
      </c>
      <c r="N8" s="48" t="s">
        <v>21</v>
      </c>
      <c r="O8" s="48" t="s">
        <v>22</v>
      </c>
      <c r="P8" s="50" t="s">
        <v>0</v>
      </c>
      <c r="Q8" s="51" t="s">
        <v>52</v>
      </c>
      <c r="R8" s="52" t="s">
        <v>55</v>
      </c>
      <c r="S8" s="53" t="s">
        <v>62</v>
      </c>
      <c r="T8" s="54" t="s">
        <v>59</v>
      </c>
      <c r="U8" s="55" t="s">
        <v>63</v>
      </c>
      <c r="V8" s="54" t="s">
        <v>59</v>
      </c>
      <c r="W8" s="24"/>
      <c r="X8" s="56"/>
      <c r="AA8" s="56"/>
      <c r="AB8" s="58"/>
      <c r="AD8" s="56"/>
      <c r="AE8" s="58"/>
      <c r="AF8" s="59"/>
      <c r="AG8" s="56"/>
      <c r="AH8" s="59"/>
      <c r="AI8" s="56"/>
      <c r="AJ8" s="59"/>
      <c r="AK8" s="59"/>
      <c r="AL8" s="59"/>
    </row>
    <row r="9" spans="1:40" s="73" customFormat="1" ht="21.2" customHeight="1" thickBot="1" x14ac:dyDescent="0.3">
      <c r="A9" s="60"/>
      <c r="B9" s="61"/>
      <c r="C9" s="62">
        <v>43297</v>
      </c>
      <c r="D9" s="61" t="s">
        <v>35</v>
      </c>
      <c r="E9" s="61" t="s">
        <v>36</v>
      </c>
      <c r="F9" s="61" t="s">
        <v>19</v>
      </c>
      <c r="G9" s="61" t="s">
        <v>23</v>
      </c>
      <c r="H9" s="61" t="s">
        <v>24</v>
      </c>
      <c r="I9" s="61" t="s">
        <v>25</v>
      </c>
      <c r="J9" s="61" t="s">
        <v>26</v>
      </c>
      <c r="K9" s="228" t="s">
        <v>37</v>
      </c>
      <c r="L9" s="61" t="s">
        <v>38</v>
      </c>
      <c r="M9" s="61" t="s">
        <v>39</v>
      </c>
      <c r="N9" s="63" t="s">
        <v>49</v>
      </c>
      <c r="O9" s="64" t="s">
        <v>27</v>
      </c>
      <c r="P9" s="65" t="s">
        <v>53</v>
      </c>
      <c r="Q9" s="66"/>
      <c r="R9" s="67"/>
      <c r="S9" s="68"/>
      <c r="T9" s="69"/>
      <c r="U9" s="68"/>
      <c r="V9" s="70"/>
      <c r="W9" s="71" t="s">
        <v>15</v>
      </c>
      <c r="X9" s="72"/>
      <c r="AA9" s="72"/>
      <c r="AB9" s="74"/>
      <c r="AD9" s="72"/>
      <c r="AE9" s="74"/>
      <c r="AF9" s="75"/>
      <c r="AG9" s="72"/>
      <c r="AH9" s="75"/>
      <c r="AI9" s="72"/>
      <c r="AJ9" s="75"/>
      <c r="AK9" s="75"/>
      <c r="AL9" s="75"/>
    </row>
    <row r="10" spans="1:40" s="83" customFormat="1" ht="15" hidden="1" customHeight="1" x14ac:dyDescent="0.25">
      <c r="A10" s="76"/>
      <c r="B10" s="77"/>
      <c r="C10" s="77"/>
      <c r="D10" s="78"/>
      <c r="E10" s="78"/>
      <c r="F10" s="78"/>
      <c r="G10" s="78"/>
      <c r="H10" s="77"/>
      <c r="I10" s="77"/>
      <c r="J10" s="77"/>
      <c r="K10" s="79"/>
      <c r="L10" s="79"/>
      <c r="M10" s="79"/>
      <c r="N10" s="66"/>
      <c r="O10" s="66"/>
      <c r="P10" s="67"/>
      <c r="Q10" s="39"/>
      <c r="R10" s="29"/>
      <c r="S10" s="80"/>
      <c r="T10" s="22"/>
      <c r="U10" s="80"/>
      <c r="V10" s="81"/>
      <c r="W10" s="82"/>
    </row>
    <row r="11" spans="1:40" x14ac:dyDescent="0.25">
      <c r="B11" s="17"/>
      <c r="C11" s="84"/>
      <c r="D11" s="19"/>
      <c r="E11" s="85"/>
      <c r="F11" s="85"/>
      <c r="G11" s="85"/>
      <c r="H11" s="17"/>
      <c r="I11" s="39"/>
      <c r="J11" s="20"/>
      <c r="K11" s="86"/>
      <c r="L11" s="87"/>
      <c r="M11" s="88"/>
      <c r="N11" s="39"/>
      <c r="O11" s="39"/>
      <c r="P11" s="29"/>
      <c r="Q11" s="39"/>
      <c r="R11" s="29"/>
      <c r="S11" s="89"/>
      <c r="T11" s="90"/>
      <c r="U11" s="89"/>
      <c r="V11" s="91"/>
      <c r="W11" s="92"/>
      <c r="X11" s="93"/>
      <c r="Y11" s="94"/>
      <c r="Z11" s="94"/>
      <c r="AA11" s="93"/>
      <c r="AB11" s="94"/>
      <c r="AC11" s="94"/>
      <c r="AD11" s="93"/>
      <c r="AE11" s="94"/>
      <c r="AF11" s="95"/>
      <c r="AG11" s="93"/>
      <c r="AH11" s="95"/>
      <c r="AI11" s="93"/>
      <c r="AJ11" s="95"/>
      <c r="AK11" s="93"/>
      <c r="AL11" s="96"/>
      <c r="AM11" s="95"/>
      <c r="AN11" s="95"/>
    </row>
    <row r="12" spans="1:40" x14ac:dyDescent="0.25">
      <c r="B12" s="97"/>
      <c r="C12" s="98"/>
      <c r="D12" s="99"/>
      <c r="E12" s="100"/>
      <c r="F12" s="100"/>
      <c r="G12" s="101">
        <f>H2</f>
        <v>26000</v>
      </c>
      <c r="H12" s="97">
        <v>0</v>
      </c>
      <c r="I12" s="102">
        <f t="shared" ref="I12:I72" si="0">IF((J12&gt;0),(J12-H12+E12),(I11-H12+E12))</f>
        <v>0</v>
      </c>
      <c r="J12" s="103">
        <f>(K12+M12+L12)</f>
        <v>0</v>
      </c>
      <c r="K12" s="104"/>
      <c r="L12" s="105"/>
      <c r="M12" s="106"/>
      <c r="N12" s="102"/>
      <c r="O12" s="102"/>
      <c r="P12" s="107"/>
      <c r="Q12" s="102"/>
      <c r="R12" s="107"/>
      <c r="S12" s="108"/>
      <c r="T12" s="109"/>
      <c r="U12" s="108"/>
      <c r="V12" s="91"/>
      <c r="W12" s="92"/>
      <c r="X12" s="93"/>
      <c r="Y12" s="94"/>
      <c r="Z12" s="94"/>
      <c r="AA12" s="93"/>
      <c r="AB12" s="94"/>
      <c r="AC12" s="94"/>
      <c r="AD12" s="93"/>
      <c r="AE12" s="94"/>
      <c r="AF12" s="95"/>
      <c r="AG12" s="93"/>
      <c r="AH12" s="95"/>
      <c r="AI12" s="93"/>
      <c r="AJ12" s="95"/>
      <c r="AK12" s="93"/>
      <c r="AL12" s="96"/>
      <c r="AM12" s="95"/>
      <c r="AN12" s="95"/>
    </row>
    <row r="13" spans="1:40" x14ac:dyDescent="0.25">
      <c r="A13" s="25">
        <v>1</v>
      </c>
      <c r="B13" s="401">
        <f>C3</f>
        <v>46104</v>
      </c>
      <c r="C13" s="402"/>
      <c r="D13" s="110">
        <f>E13</f>
        <v>24000</v>
      </c>
      <c r="E13" s="268">
        <v>24000</v>
      </c>
      <c r="F13" s="268" t="s">
        <v>95</v>
      </c>
      <c r="G13" s="111">
        <f t="shared" ref="G13:G21" si="1">G12-E13</f>
        <v>2000</v>
      </c>
      <c r="H13" s="102">
        <f>('Consumption Guide'!G8*O13)/1000</f>
        <v>1760</v>
      </c>
      <c r="I13" s="225">
        <f t="shared" si="0"/>
        <v>22240</v>
      </c>
      <c r="J13" s="103">
        <f>(K13+M13+L13)</f>
        <v>0</v>
      </c>
      <c r="K13" s="104"/>
      <c r="L13" s="105"/>
      <c r="M13" s="106"/>
      <c r="N13" s="112"/>
      <c r="O13" s="102">
        <f>SUM(C2-N13)</f>
        <v>80000</v>
      </c>
      <c r="P13" s="107"/>
      <c r="Q13" s="102"/>
      <c r="R13" s="107"/>
      <c r="S13" s="108"/>
      <c r="T13" s="109"/>
      <c r="U13" s="108"/>
      <c r="V13" s="91"/>
      <c r="W13" s="92"/>
      <c r="X13" s="93"/>
      <c r="Y13" s="94"/>
      <c r="Z13" s="94"/>
      <c r="AA13" s="93"/>
      <c r="AB13" s="94"/>
      <c r="AC13" s="94"/>
      <c r="AD13" s="93"/>
      <c r="AE13" s="94"/>
      <c r="AF13" s="95"/>
      <c r="AG13" s="93"/>
      <c r="AH13" s="95"/>
      <c r="AI13" s="93"/>
      <c r="AJ13" s="95"/>
      <c r="AK13" s="93"/>
      <c r="AL13" s="96"/>
      <c r="AM13" s="95"/>
      <c r="AN13" s="95"/>
    </row>
    <row r="14" spans="1:40" x14ac:dyDescent="0.25">
      <c r="A14" s="25">
        <f>A13+1</f>
        <v>2</v>
      </c>
      <c r="B14" s="401">
        <f>B13+1</f>
        <v>46105</v>
      </c>
      <c r="C14" s="402"/>
      <c r="D14" s="110">
        <f t="shared" ref="D14:D72" si="2">D13+E14</f>
        <v>24000</v>
      </c>
      <c r="E14" s="114"/>
      <c r="F14" s="114"/>
      <c r="G14" s="111">
        <f t="shared" si="1"/>
        <v>2000</v>
      </c>
      <c r="H14" s="102">
        <f>('Consumption Guide'!G9*O14)/1000</f>
        <v>1920</v>
      </c>
      <c r="I14" s="225">
        <f t="shared" si="0"/>
        <v>20320</v>
      </c>
      <c r="J14" s="103">
        <f>(K14+M14+L14)</f>
        <v>0</v>
      </c>
      <c r="K14" s="104"/>
      <c r="L14" s="105"/>
      <c r="M14" s="275"/>
      <c r="N14" s="112"/>
      <c r="O14" s="102">
        <f t="shared" ref="O14:O45" si="3">SUM(O13-N14)</f>
        <v>80000</v>
      </c>
      <c r="P14" s="107"/>
      <c r="Q14" s="102"/>
      <c r="R14" s="107">
        <f>Q14+R13</f>
        <v>0</v>
      </c>
      <c r="S14" s="108"/>
      <c r="T14" s="109"/>
      <c r="U14" s="108"/>
      <c r="V14" s="91"/>
      <c r="W14" s="92"/>
      <c r="X14" s="93"/>
      <c r="Y14" s="94"/>
      <c r="Z14" s="94"/>
      <c r="AA14" s="93"/>
      <c r="AB14" s="94"/>
      <c r="AC14" s="94"/>
      <c r="AD14" s="93"/>
      <c r="AE14" s="94"/>
      <c r="AF14" s="95"/>
      <c r="AG14" s="93"/>
      <c r="AH14" s="95"/>
      <c r="AI14" s="93"/>
      <c r="AJ14" s="95"/>
      <c r="AK14" s="93"/>
      <c r="AL14" s="96"/>
      <c r="AM14" s="95"/>
      <c r="AN14" s="95"/>
    </row>
    <row r="15" spans="1:40" x14ac:dyDescent="0.25">
      <c r="A15" s="25">
        <f t="shared" ref="A15:B30" si="4">A14+1</f>
        <v>3</v>
      </c>
      <c r="B15" s="401">
        <f t="shared" si="4"/>
        <v>46106</v>
      </c>
      <c r="C15" s="402"/>
      <c r="D15" s="110">
        <f t="shared" si="2"/>
        <v>24000</v>
      </c>
      <c r="E15" s="114"/>
      <c r="F15" s="100"/>
      <c r="G15" s="111">
        <f t="shared" si="1"/>
        <v>2000</v>
      </c>
      <c r="H15" s="102">
        <f>('Consumption Guide'!G10*O15)/1000</f>
        <v>2080</v>
      </c>
      <c r="I15" s="225">
        <f t="shared" si="0"/>
        <v>47920</v>
      </c>
      <c r="J15" s="103">
        <f t="shared" ref="J15:J72" si="5">(K15+M15+L15)</f>
        <v>50000</v>
      </c>
      <c r="K15" s="104">
        <v>6000</v>
      </c>
      <c r="L15" s="105">
        <v>22000</v>
      </c>
      <c r="M15" s="106">
        <v>22000</v>
      </c>
      <c r="N15" s="112"/>
      <c r="O15" s="113">
        <f t="shared" si="3"/>
        <v>80000</v>
      </c>
      <c r="P15" s="107"/>
      <c r="Q15" s="102"/>
      <c r="R15" s="107">
        <f t="shared" ref="R15:R72" si="6">Q15+R14</f>
        <v>0</v>
      </c>
      <c r="S15" s="108"/>
      <c r="T15" s="109"/>
      <c r="U15" s="108"/>
      <c r="V15" s="91"/>
      <c r="W15" s="92"/>
      <c r="X15" s="93"/>
      <c r="Y15" s="94"/>
      <c r="Z15" s="94"/>
      <c r="AA15" s="93"/>
      <c r="AB15" s="94"/>
      <c r="AC15" s="94"/>
      <c r="AD15" s="93"/>
      <c r="AE15" s="94"/>
      <c r="AF15" s="95"/>
      <c r="AG15" s="93"/>
      <c r="AH15" s="95"/>
      <c r="AI15" s="93"/>
      <c r="AJ15" s="95"/>
      <c r="AK15" s="93"/>
      <c r="AL15" s="96"/>
      <c r="AM15" s="95"/>
      <c r="AN15" s="95"/>
    </row>
    <row r="16" spans="1:40" x14ac:dyDescent="0.25">
      <c r="A16" s="25">
        <f t="shared" si="4"/>
        <v>4</v>
      </c>
      <c r="B16" s="401">
        <f t="shared" si="4"/>
        <v>46107</v>
      </c>
      <c r="C16" s="402"/>
      <c r="D16" s="110">
        <f t="shared" si="2"/>
        <v>40000</v>
      </c>
      <c r="E16" s="114">
        <v>16000</v>
      </c>
      <c r="F16" s="100"/>
      <c r="G16" s="111">
        <f t="shared" si="1"/>
        <v>-14000</v>
      </c>
      <c r="H16" s="102">
        <f>('Consumption Guide'!G11*O16)/1000</f>
        <v>2240</v>
      </c>
      <c r="I16" s="225">
        <f t="shared" si="0"/>
        <v>57760</v>
      </c>
      <c r="J16" s="103">
        <f t="shared" si="5"/>
        <v>44000</v>
      </c>
      <c r="K16" s="104">
        <v>6000</v>
      </c>
      <c r="L16" s="105">
        <v>18000</v>
      </c>
      <c r="M16" s="106">
        <v>20000</v>
      </c>
      <c r="N16" s="112"/>
      <c r="O16" s="113">
        <f t="shared" si="3"/>
        <v>80000</v>
      </c>
      <c r="P16" s="107"/>
      <c r="Q16" s="102"/>
      <c r="R16" s="107">
        <f t="shared" si="6"/>
        <v>0</v>
      </c>
      <c r="S16" s="108"/>
      <c r="T16" s="109"/>
      <c r="U16" s="108"/>
      <c r="V16" s="91"/>
      <c r="W16" s="92"/>
    </row>
    <row r="17" spans="1:40" x14ac:dyDescent="0.25">
      <c r="A17" s="25">
        <f t="shared" si="4"/>
        <v>5</v>
      </c>
      <c r="B17" s="401">
        <f t="shared" si="4"/>
        <v>46108</v>
      </c>
      <c r="C17" s="402"/>
      <c r="D17" s="110">
        <f t="shared" si="2"/>
        <v>40000</v>
      </c>
      <c r="E17" s="114"/>
      <c r="F17" s="114"/>
      <c r="G17" s="111">
        <f t="shared" si="1"/>
        <v>-14000</v>
      </c>
      <c r="H17" s="102">
        <f>('Consumption Guide'!G12*O17)/1000</f>
        <v>2400</v>
      </c>
      <c r="I17" s="225">
        <f t="shared" si="0"/>
        <v>51600</v>
      </c>
      <c r="J17" s="103">
        <f t="shared" si="5"/>
        <v>54000</v>
      </c>
      <c r="K17" s="104">
        <v>16000</v>
      </c>
      <c r="L17" s="105">
        <v>18000</v>
      </c>
      <c r="M17" s="119">
        <v>20000</v>
      </c>
      <c r="N17" s="112"/>
      <c r="O17" s="113">
        <f t="shared" si="3"/>
        <v>80000</v>
      </c>
      <c r="P17" s="107"/>
      <c r="Q17" s="102"/>
      <c r="R17" s="107">
        <f>Q17+R16</f>
        <v>0</v>
      </c>
      <c r="S17" s="108"/>
      <c r="T17" s="109"/>
      <c r="U17" s="108"/>
      <c r="V17" s="91"/>
      <c r="W17" s="92"/>
    </row>
    <row r="18" spans="1:40" x14ac:dyDescent="0.25">
      <c r="A18" s="25">
        <f t="shared" si="4"/>
        <v>6</v>
      </c>
      <c r="B18" s="401">
        <f t="shared" si="4"/>
        <v>46109</v>
      </c>
      <c r="C18" s="402"/>
      <c r="D18" s="110">
        <f t="shared" si="2"/>
        <v>40000</v>
      </c>
      <c r="E18" s="114"/>
      <c r="F18" s="114"/>
      <c r="G18" s="111">
        <f t="shared" si="1"/>
        <v>-14000</v>
      </c>
      <c r="H18" s="102">
        <f>('Consumption Guide'!G13*O18)/1000</f>
        <v>2560</v>
      </c>
      <c r="I18" s="225">
        <f t="shared" si="0"/>
        <v>49040</v>
      </c>
      <c r="J18" s="103">
        <f t="shared" si="5"/>
        <v>0</v>
      </c>
      <c r="K18" s="104"/>
      <c r="L18" s="116"/>
      <c r="M18" s="119"/>
      <c r="N18" s="112"/>
      <c r="O18" s="113">
        <f t="shared" si="3"/>
        <v>80000</v>
      </c>
      <c r="P18" s="107"/>
      <c r="Q18" s="102"/>
      <c r="R18" s="107">
        <f t="shared" si="6"/>
        <v>0</v>
      </c>
      <c r="S18" s="108"/>
      <c r="T18" s="109"/>
      <c r="U18" s="108"/>
      <c r="V18" s="91"/>
      <c r="W18" s="92"/>
    </row>
    <row r="19" spans="1:40" x14ac:dyDescent="0.25">
      <c r="A19" s="25">
        <f t="shared" si="4"/>
        <v>7</v>
      </c>
      <c r="B19" s="401">
        <f t="shared" si="4"/>
        <v>46110</v>
      </c>
      <c r="C19" s="402"/>
      <c r="D19" s="110">
        <f t="shared" si="2"/>
        <v>56000</v>
      </c>
      <c r="E19" s="114">
        <v>16000</v>
      </c>
      <c r="F19" s="114"/>
      <c r="G19" s="111">
        <f t="shared" si="1"/>
        <v>-30000</v>
      </c>
      <c r="H19" s="102">
        <f>('Consumption Guide'!G14*O19)/1000</f>
        <v>2720</v>
      </c>
      <c r="I19" s="225">
        <f t="shared" si="0"/>
        <v>62320</v>
      </c>
      <c r="J19" s="103">
        <f t="shared" si="5"/>
        <v>0</v>
      </c>
      <c r="K19" s="104"/>
      <c r="L19" s="116"/>
      <c r="M19" s="119"/>
      <c r="N19" s="112"/>
      <c r="O19" s="113">
        <f t="shared" si="3"/>
        <v>80000</v>
      </c>
      <c r="P19" s="107"/>
      <c r="Q19" s="102"/>
      <c r="R19" s="107">
        <f t="shared" si="6"/>
        <v>0</v>
      </c>
      <c r="S19" s="108"/>
      <c r="T19" s="109"/>
      <c r="U19" s="108"/>
      <c r="V19" s="91"/>
      <c r="W19" s="92"/>
    </row>
    <row r="20" spans="1:40" ht="24" customHeight="1" x14ac:dyDescent="0.25">
      <c r="A20" s="25">
        <v>8</v>
      </c>
      <c r="B20" s="401">
        <f t="shared" si="4"/>
        <v>46111</v>
      </c>
      <c r="C20" s="402"/>
      <c r="D20" s="110">
        <f t="shared" si="2"/>
        <v>56000</v>
      </c>
      <c r="E20" s="114"/>
      <c r="F20" s="114"/>
      <c r="G20" s="111">
        <f t="shared" si="1"/>
        <v>-30000</v>
      </c>
      <c r="H20" s="102">
        <f>('Consumption Guide'!G15*O20)/1000</f>
        <v>2880</v>
      </c>
      <c r="I20" s="225">
        <f t="shared" si="0"/>
        <v>53120</v>
      </c>
      <c r="J20" s="103">
        <f t="shared" si="5"/>
        <v>56000</v>
      </c>
      <c r="K20" s="104">
        <v>18000</v>
      </c>
      <c r="L20" s="116">
        <v>18000</v>
      </c>
      <c r="M20" s="119">
        <v>20000</v>
      </c>
      <c r="N20" s="112"/>
      <c r="O20" s="113">
        <f t="shared" si="3"/>
        <v>80000</v>
      </c>
      <c r="P20" s="107"/>
      <c r="Q20" s="102"/>
      <c r="R20" s="107">
        <f t="shared" si="6"/>
        <v>0</v>
      </c>
      <c r="S20" s="108"/>
      <c r="T20" s="109"/>
      <c r="U20" s="108"/>
      <c r="V20" s="91"/>
      <c r="W20" s="92"/>
    </row>
    <row r="21" spans="1:40" x14ac:dyDescent="0.25">
      <c r="A21" s="25">
        <f t="shared" si="4"/>
        <v>9</v>
      </c>
      <c r="B21" s="401">
        <f t="shared" si="4"/>
        <v>46112</v>
      </c>
      <c r="C21" s="402"/>
      <c r="D21" s="110">
        <f t="shared" si="2"/>
        <v>56000</v>
      </c>
      <c r="E21" s="114"/>
      <c r="F21" s="114"/>
      <c r="G21" s="111">
        <f t="shared" si="1"/>
        <v>-30000</v>
      </c>
      <c r="H21" s="102">
        <f>('Consumption Guide'!G16*O21)/1000</f>
        <v>3200</v>
      </c>
      <c r="I21" s="225">
        <f t="shared" si="0"/>
        <v>49920</v>
      </c>
      <c r="J21" s="103">
        <f t="shared" si="5"/>
        <v>0</v>
      </c>
      <c r="K21" s="104"/>
      <c r="L21" s="116"/>
      <c r="M21" s="119"/>
      <c r="N21" s="112"/>
      <c r="O21" s="113">
        <f t="shared" si="3"/>
        <v>80000</v>
      </c>
      <c r="P21" s="107"/>
      <c r="Q21" s="102"/>
      <c r="R21" s="107">
        <f t="shared" si="6"/>
        <v>0</v>
      </c>
      <c r="S21" s="108"/>
      <c r="T21" s="109"/>
      <c r="U21" s="108"/>
      <c r="V21" s="91"/>
      <c r="W21" s="92"/>
    </row>
    <row r="22" spans="1:40" x14ac:dyDescent="0.25">
      <c r="A22" s="25">
        <f t="shared" si="4"/>
        <v>10</v>
      </c>
      <c r="B22" s="401">
        <f t="shared" si="4"/>
        <v>46113</v>
      </c>
      <c r="C22" s="402"/>
      <c r="D22" s="110">
        <f t="shared" si="2"/>
        <v>56000</v>
      </c>
      <c r="E22" s="114"/>
      <c r="F22" s="114"/>
      <c r="G22" s="115">
        <v>96480</v>
      </c>
      <c r="H22" s="102">
        <f>('Consumption Guide'!G17*O22)/1000</f>
        <v>3600</v>
      </c>
      <c r="I22" s="225">
        <f t="shared" si="0"/>
        <v>46320</v>
      </c>
      <c r="J22" s="103">
        <f t="shared" si="5"/>
        <v>0</v>
      </c>
      <c r="K22" s="104"/>
      <c r="L22" s="116"/>
      <c r="M22" s="117"/>
      <c r="N22" s="112"/>
      <c r="O22" s="113">
        <f t="shared" si="3"/>
        <v>80000</v>
      </c>
      <c r="P22" s="107"/>
      <c r="Q22" s="102"/>
      <c r="R22" s="107">
        <f t="shared" si="6"/>
        <v>0</v>
      </c>
      <c r="S22" s="108"/>
      <c r="T22" s="109"/>
      <c r="U22" s="108"/>
      <c r="V22" s="91"/>
      <c r="W22" s="92"/>
      <c r="X22" s="93"/>
      <c r="Y22" s="94"/>
      <c r="Z22" s="94"/>
      <c r="AA22" s="93"/>
      <c r="AB22" s="94"/>
      <c r="AC22" s="94"/>
      <c r="AD22" s="93"/>
      <c r="AE22" s="94"/>
      <c r="AF22" s="95"/>
      <c r="AG22" s="93"/>
      <c r="AH22" s="95"/>
      <c r="AI22" s="93"/>
      <c r="AJ22" s="95"/>
      <c r="AK22" s="93"/>
      <c r="AL22" s="96"/>
      <c r="AM22" s="95"/>
      <c r="AN22" s="95"/>
    </row>
    <row r="23" spans="1:40" x14ac:dyDescent="0.25">
      <c r="A23" s="25">
        <f t="shared" si="4"/>
        <v>11</v>
      </c>
      <c r="B23" s="401">
        <f t="shared" si="4"/>
        <v>46114</v>
      </c>
      <c r="C23" s="402"/>
      <c r="D23" s="110">
        <f t="shared" si="2"/>
        <v>72000</v>
      </c>
      <c r="E23" s="114">
        <v>16000</v>
      </c>
      <c r="F23" s="114"/>
      <c r="G23" s="115">
        <f>H3-E23</f>
        <v>76000</v>
      </c>
      <c r="H23" s="102">
        <f>('Consumption Guide'!G18*O23)/1000</f>
        <v>4000</v>
      </c>
      <c r="I23" s="225">
        <f t="shared" si="0"/>
        <v>58320</v>
      </c>
      <c r="J23" s="103">
        <f t="shared" si="5"/>
        <v>0</v>
      </c>
      <c r="K23" s="104"/>
      <c r="L23" s="97"/>
      <c r="M23" s="117"/>
      <c r="N23" s="112"/>
      <c r="O23" s="113">
        <f t="shared" si="3"/>
        <v>80000</v>
      </c>
      <c r="P23" s="107"/>
      <c r="Q23" s="102"/>
      <c r="R23" s="107">
        <f t="shared" si="6"/>
        <v>0</v>
      </c>
      <c r="S23" s="108"/>
      <c r="T23" s="109"/>
      <c r="U23" s="108"/>
      <c r="V23" s="91"/>
      <c r="W23" s="92"/>
    </row>
    <row r="24" spans="1:40" x14ac:dyDescent="0.25">
      <c r="A24" s="25">
        <f t="shared" si="4"/>
        <v>12</v>
      </c>
      <c r="B24" s="401">
        <f t="shared" si="4"/>
        <v>46115</v>
      </c>
      <c r="C24" s="402"/>
      <c r="D24" s="110">
        <f t="shared" si="2"/>
        <v>72000</v>
      </c>
      <c r="E24" s="114"/>
      <c r="F24" s="114"/>
      <c r="G24" s="115">
        <f t="shared" ref="G24:G36" si="7">G23-E24</f>
        <v>76000</v>
      </c>
      <c r="H24" s="102">
        <f>('Consumption Guide'!G19*O24)/1000</f>
        <v>4400</v>
      </c>
      <c r="I24" s="225">
        <f t="shared" si="0"/>
        <v>53920</v>
      </c>
      <c r="J24" s="103">
        <f t="shared" si="5"/>
        <v>0</v>
      </c>
      <c r="K24" s="104"/>
      <c r="L24" s="116"/>
      <c r="M24" s="118"/>
      <c r="N24" s="112"/>
      <c r="O24" s="113">
        <f t="shared" si="3"/>
        <v>80000</v>
      </c>
      <c r="P24" s="107"/>
      <c r="Q24" s="102"/>
      <c r="R24" s="107">
        <f t="shared" si="6"/>
        <v>0</v>
      </c>
      <c r="S24" s="108"/>
      <c r="T24" s="109"/>
      <c r="U24" s="108"/>
      <c r="V24" s="91"/>
      <c r="W24" s="92"/>
    </row>
    <row r="25" spans="1:40" x14ac:dyDescent="0.25">
      <c r="A25" s="25">
        <f t="shared" si="4"/>
        <v>13</v>
      </c>
      <c r="B25" s="401">
        <f t="shared" si="4"/>
        <v>46116</v>
      </c>
      <c r="C25" s="402"/>
      <c r="D25" s="110">
        <f t="shared" si="2"/>
        <v>72000</v>
      </c>
      <c r="E25" s="114"/>
      <c r="F25" s="114"/>
      <c r="G25" s="115">
        <f t="shared" si="7"/>
        <v>76000</v>
      </c>
      <c r="H25" s="102">
        <f>('Consumption Guide'!G20*O25)/1000</f>
        <v>4800</v>
      </c>
      <c r="I25" s="225">
        <f t="shared" si="0"/>
        <v>49120</v>
      </c>
      <c r="J25" s="103">
        <f t="shared" si="5"/>
        <v>0</v>
      </c>
      <c r="K25" s="224"/>
      <c r="L25" s="116"/>
      <c r="M25" s="118"/>
      <c r="N25" s="112"/>
      <c r="O25" s="113">
        <f t="shared" si="3"/>
        <v>80000</v>
      </c>
      <c r="P25" s="107"/>
      <c r="Q25" s="102"/>
      <c r="R25" s="107">
        <f t="shared" si="6"/>
        <v>0</v>
      </c>
      <c r="S25" s="108"/>
      <c r="T25" s="109"/>
      <c r="U25" s="108"/>
      <c r="V25" s="91"/>
      <c r="W25" s="92"/>
    </row>
    <row r="26" spans="1:40" x14ac:dyDescent="0.25">
      <c r="A26" s="25">
        <f t="shared" si="4"/>
        <v>14</v>
      </c>
      <c r="B26" s="401">
        <f t="shared" si="4"/>
        <v>46117</v>
      </c>
      <c r="C26" s="402"/>
      <c r="D26" s="110">
        <f t="shared" si="2"/>
        <v>94000</v>
      </c>
      <c r="E26" s="114">
        <v>22000</v>
      </c>
      <c r="F26" s="114"/>
      <c r="G26" s="115">
        <f t="shared" si="7"/>
        <v>54000</v>
      </c>
      <c r="H26" s="102">
        <f>('Consumption Guide'!G21*O26)/1000</f>
        <v>5200</v>
      </c>
      <c r="I26" s="225">
        <f t="shared" si="0"/>
        <v>65920</v>
      </c>
      <c r="J26" s="103">
        <f t="shared" si="5"/>
        <v>0</v>
      </c>
      <c r="K26" s="224"/>
      <c r="L26" s="116"/>
      <c r="M26" s="121"/>
      <c r="N26" s="102"/>
      <c r="O26" s="113">
        <f t="shared" si="3"/>
        <v>80000</v>
      </c>
      <c r="P26" s="107"/>
      <c r="Q26" s="102"/>
      <c r="R26" s="107">
        <f t="shared" si="6"/>
        <v>0</v>
      </c>
      <c r="S26" s="108"/>
      <c r="T26" s="109"/>
      <c r="U26" s="108"/>
      <c r="V26" s="91"/>
      <c r="W26" s="92"/>
    </row>
    <row r="27" spans="1:40" x14ac:dyDescent="0.25">
      <c r="A27" s="25">
        <f t="shared" si="4"/>
        <v>15</v>
      </c>
      <c r="B27" s="401">
        <f t="shared" si="4"/>
        <v>46118</v>
      </c>
      <c r="C27" s="402"/>
      <c r="D27" s="110">
        <f t="shared" si="2"/>
        <v>94000</v>
      </c>
      <c r="E27" s="114"/>
      <c r="F27" s="114"/>
      <c r="G27" s="115">
        <f t="shared" si="7"/>
        <v>54000</v>
      </c>
      <c r="H27" s="102">
        <f>('Consumption Guide'!G22*O27)/1000</f>
        <v>5920</v>
      </c>
      <c r="I27" s="225">
        <f t="shared" si="0"/>
        <v>60000</v>
      </c>
      <c r="J27" s="103">
        <f t="shared" si="5"/>
        <v>0</v>
      </c>
      <c r="K27" s="120"/>
      <c r="L27" s="116"/>
      <c r="M27" s="121"/>
      <c r="N27" s="112"/>
      <c r="O27" s="113">
        <f t="shared" si="3"/>
        <v>80000</v>
      </c>
      <c r="P27" s="107"/>
      <c r="Q27" s="102"/>
      <c r="R27" s="107">
        <f t="shared" si="6"/>
        <v>0</v>
      </c>
      <c r="S27" s="108"/>
      <c r="T27" s="109"/>
      <c r="U27" s="108"/>
      <c r="V27" s="91"/>
      <c r="W27" s="92"/>
    </row>
    <row r="28" spans="1:40" x14ac:dyDescent="0.25">
      <c r="A28" s="25">
        <f t="shared" si="4"/>
        <v>16</v>
      </c>
      <c r="B28" s="401">
        <f t="shared" si="4"/>
        <v>46119</v>
      </c>
      <c r="C28" s="402"/>
      <c r="D28" s="110">
        <f t="shared" si="2"/>
        <v>94000</v>
      </c>
      <c r="E28" s="114"/>
      <c r="F28" s="114"/>
      <c r="G28" s="115">
        <f t="shared" si="7"/>
        <v>54000</v>
      </c>
      <c r="H28" s="102">
        <f>('Consumption Guide'!G23*O28)/1000</f>
        <v>6000</v>
      </c>
      <c r="I28" s="225">
        <f t="shared" si="0"/>
        <v>54000</v>
      </c>
      <c r="J28" s="103">
        <f t="shared" si="5"/>
        <v>0</v>
      </c>
      <c r="K28" s="120"/>
      <c r="L28" s="116"/>
      <c r="M28" s="121"/>
      <c r="N28" s="112"/>
      <c r="O28" s="113">
        <f t="shared" si="3"/>
        <v>80000</v>
      </c>
      <c r="P28" s="107"/>
      <c r="Q28" s="102"/>
      <c r="R28" s="107">
        <f t="shared" si="6"/>
        <v>0</v>
      </c>
      <c r="S28" s="108"/>
      <c r="T28" s="109"/>
      <c r="U28" s="108"/>
      <c r="V28" s="91"/>
      <c r="W28" s="92"/>
    </row>
    <row r="29" spans="1:40" x14ac:dyDescent="0.25">
      <c r="A29" s="25">
        <f t="shared" si="4"/>
        <v>17</v>
      </c>
      <c r="B29" s="401">
        <f t="shared" si="4"/>
        <v>46120</v>
      </c>
      <c r="C29" s="402"/>
      <c r="D29" s="110">
        <f t="shared" si="2"/>
        <v>94000</v>
      </c>
      <c r="E29" s="114"/>
      <c r="F29" s="114"/>
      <c r="G29" s="115">
        <f t="shared" si="7"/>
        <v>54000</v>
      </c>
      <c r="H29" s="102">
        <f>('Consumption Guide'!G24*O29)/1000</f>
        <v>6400</v>
      </c>
      <c r="I29" s="225">
        <f t="shared" si="0"/>
        <v>47600</v>
      </c>
      <c r="J29" s="103">
        <f t="shared" si="5"/>
        <v>0</v>
      </c>
      <c r="K29" s="138"/>
      <c r="L29" s="116"/>
      <c r="M29" s="121"/>
      <c r="N29" s="112"/>
      <c r="O29" s="113">
        <f t="shared" si="3"/>
        <v>80000</v>
      </c>
      <c r="P29" s="107"/>
      <c r="Q29" s="102"/>
      <c r="R29" s="107">
        <f t="shared" si="6"/>
        <v>0</v>
      </c>
      <c r="S29" s="108"/>
      <c r="T29" s="109"/>
      <c r="U29" s="108"/>
      <c r="V29" s="91"/>
      <c r="W29" s="92"/>
    </row>
    <row r="30" spans="1:40" x14ac:dyDescent="0.25">
      <c r="A30" s="25">
        <f t="shared" si="4"/>
        <v>18</v>
      </c>
      <c r="B30" s="401">
        <f t="shared" si="4"/>
        <v>46121</v>
      </c>
      <c r="C30" s="402"/>
      <c r="D30" s="110">
        <f t="shared" si="2"/>
        <v>94000</v>
      </c>
      <c r="E30" s="114"/>
      <c r="F30" s="114"/>
      <c r="G30" s="115">
        <f t="shared" si="7"/>
        <v>54000</v>
      </c>
      <c r="H30" s="102">
        <f>('Consumption Guide'!G25*O30)/1000</f>
        <v>6960</v>
      </c>
      <c r="I30" s="225">
        <f t="shared" si="0"/>
        <v>40640</v>
      </c>
      <c r="J30" s="103">
        <f>(K30+M30+L30)</f>
        <v>0</v>
      </c>
      <c r="K30" s="122"/>
      <c r="L30" s="116"/>
      <c r="M30" s="121"/>
      <c r="N30" s="112"/>
      <c r="O30" s="113">
        <f t="shared" si="3"/>
        <v>80000</v>
      </c>
      <c r="P30" s="107"/>
      <c r="Q30" s="102"/>
      <c r="R30" s="107">
        <f t="shared" si="6"/>
        <v>0</v>
      </c>
      <c r="S30" s="108"/>
      <c r="T30" s="109"/>
      <c r="U30" s="108"/>
      <c r="V30" s="91"/>
      <c r="W30" s="92"/>
    </row>
    <row r="31" spans="1:40" x14ac:dyDescent="0.25">
      <c r="A31" s="25">
        <f t="shared" ref="A31:B46" si="8">A30+1</f>
        <v>19</v>
      </c>
      <c r="B31" s="401">
        <f t="shared" si="8"/>
        <v>46122</v>
      </c>
      <c r="C31" s="402"/>
      <c r="D31" s="110">
        <f t="shared" si="2"/>
        <v>94000</v>
      </c>
      <c r="E31" s="114"/>
      <c r="F31" s="114"/>
      <c r="G31" s="115">
        <f t="shared" si="7"/>
        <v>54000</v>
      </c>
      <c r="H31" s="102">
        <f>('Consumption Guide'!G26*O31)/1000</f>
        <v>7440</v>
      </c>
      <c r="I31" s="225">
        <f t="shared" si="0"/>
        <v>33200</v>
      </c>
      <c r="J31" s="103">
        <f>(K31+M31+L31)</f>
        <v>0</v>
      </c>
      <c r="K31" s="122"/>
      <c r="L31" s="116"/>
      <c r="M31" s="121"/>
      <c r="N31" s="112"/>
      <c r="O31" s="113">
        <f t="shared" si="3"/>
        <v>80000</v>
      </c>
      <c r="P31" s="107"/>
      <c r="Q31" s="102"/>
      <c r="R31" s="107">
        <f t="shared" si="6"/>
        <v>0</v>
      </c>
      <c r="S31" s="108"/>
      <c r="T31" s="109"/>
      <c r="U31" s="108"/>
      <c r="V31" s="91"/>
      <c r="W31" s="92"/>
    </row>
    <row r="32" spans="1:40" x14ac:dyDescent="0.25">
      <c r="A32" s="25">
        <f t="shared" si="8"/>
        <v>20</v>
      </c>
      <c r="B32" s="401">
        <f t="shared" si="8"/>
        <v>46123</v>
      </c>
      <c r="C32" s="402"/>
      <c r="D32" s="110">
        <f t="shared" si="2"/>
        <v>94000</v>
      </c>
      <c r="E32" s="114"/>
      <c r="F32" s="16"/>
      <c r="G32" s="115">
        <f t="shared" si="7"/>
        <v>54000</v>
      </c>
      <c r="H32" s="102">
        <f>('Consumption Guide'!G27*O32)/1000</f>
        <v>7760</v>
      </c>
      <c r="I32" s="225">
        <f t="shared" si="0"/>
        <v>25440</v>
      </c>
      <c r="J32" s="103">
        <f>(K32+M32+L32)</f>
        <v>0</v>
      </c>
      <c r="K32" s="122"/>
      <c r="L32" s="97"/>
      <c r="M32" s="121"/>
      <c r="N32" s="112"/>
      <c r="O32" s="113">
        <f t="shared" si="3"/>
        <v>80000</v>
      </c>
      <c r="P32" s="107"/>
      <c r="Q32" s="102"/>
      <c r="R32" s="107">
        <f t="shared" si="6"/>
        <v>0</v>
      </c>
      <c r="S32" s="108"/>
      <c r="T32" s="109"/>
      <c r="U32" s="108"/>
      <c r="V32" s="91"/>
      <c r="W32" s="92"/>
    </row>
    <row r="33" spans="1:23" x14ac:dyDescent="0.25">
      <c r="A33" s="25">
        <f t="shared" si="8"/>
        <v>21</v>
      </c>
      <c r="B33" s="401">
        <f t="shared" si="8"/>
        <v>46124</v>
      </c>
      <c r="C33" s="402"/>
      <c r="D33" s="110">
        <f t="shared" si="2"/>
        <v>94000</v>
      </c>
      <c r="E33" s="114"/>
      <c r="F33" s="16"/>
      <c r="G33" s="115">
        <f t="shared" si="7"/>
        <v>54000</v>
      </c>
      <c r="H33" s="102">
        <f>('Consumption Guide'!G28*O33)/1000</f>
        <v>8240</v>
      </c>
      <c r="I33" s="225">
        <f t="shared" si="0"/>
        <v>17200</v>
      </c>
      <c r="J33" s="103">
        <f>(K33+M33+L33)</f>
        <v>0</v>
      </c>
      <c r="K33" s="122"/>
      <c r="L33" s="97"/>
      <c r="M33" s="121"/>
      <c r="N33" s="112"/>
      <c r="O33" s="113">
        <f t="shared" si="3"/>
        <v>80000</v>
      </c>
      <c r="P33" s="107"/>
      <c r="Q33" s="102"/>
      <c r="R33" s="107">
        <f t="shared" si="6"/>
        <v>0</v>
      </c>
      <c r="S33" s="108"/>
      <c r="T33" s="109"/>
      <c r="U33" s="108"/>
      <c r="V33" s="91"/>
      <c r="W33" s="92"/>
    </row>
    <row r="34" spans="1:23" x14ac:dyDescent="0.25">
      <c r="A34" s="25">
        <f t="shared" si="8"/>
        <v>22</v>
      </c>
      <c r="B34" s="401">
        <f t="shared" si="8"/>
        <v>46125</v>
      </c>
      <c r="C34" s="402"/>
      <c r="D34" s="110">
        <f t="shared" si="2"/>
        <v>94000</v>
      </c>
      <c r="E34" s="114"/>
      <c r="F34" s="114"/>
      <c r="G34" s="115">
        <f t="shared" si="7"/>
        <v>54000</v>
      </c>
      <c r="H34" s="102">
        <f>('Consumption Guide'!G29*O34)/1000</f>
        <v>8560</v>
      </c>
      <c r="I34" s="225">
        <f t="shared" si="0"/>
        <v>8640</v>
      </c>
      <c r="J34" s="103">
        <f>(K34+M34+L34)</f>
        <v>0</v>
      </c>
      <c r="K34" s="122"/>
      <c r="L34" s="97"/>
      <c r="M34" s="121"/>
      <c r="N34" s="112"/>
      <c r="O34" s="113">
        <f t="shared" si="3"/>
        <v>80000</v>
      </c>
      <c r="P34" s="107"/>
      <c r="Q34" s="102"/>
      <c r="R34" s="107">
        <f t="shared" si="6"/>
        <v>0</v>
      </c>
      <c r="S34" s="108"/>
      <c r="T34" s="109"/>
      <c r="U34" s="108"/>
      <c r="V34" s="91"/>
      <c r="W34" s="92"/>
    </row>
    <row r="35" spans="1:23" x14ac:dyDescent="0.25">
      <c r="A35" s="25">
        <f t="shared" si="8"/>
        <v>23</v>
      </c>
      <c r="B35" s="401">
        <f t="shared" si="8"/>
        <v>46126</v>
      </c>
      <c r="C35" s="402"/>
      <c r="D35" s="110">
        <f t="shared" si="2"/>
        <v>94000</v>
      </c>
      <c r="E35" s="16"/>
      <c r="F35" s="16"/>
      <c r="G35" s="115">
        <f t="shared" si="7"/>
        <v>54000</v>
      </c>
      <c r="H35" s="102">
        <f>('Consumption Guide'!G30*O35)/1000</f>
        <v>9040</v>
      </c>
      <c r="I35" s="225">
        <f t="shared" si="0"/>
        <v>-400</v>
      </c>
      <c r="J35" s="103">
        <f t="shared" si="5"/>
        <v>0</v>
      </c>
      <c r="K35" s="129"/>
      <c r="L35" s="97"/>
      <c r="M35" s="171"/>
      <c r="N35" s="112"/>
      <c r="O35" s="113">
        <f t="shared" si="3"/>
        <v>80000</v>
      </c>
      <c r="P35" s="107"/>
      <c r="Q35" s="102"/>
      <c r="R35" s="107">
        <f t="shared" si="6"/>
        <v>0</v>
      </c>
      <c r="S35" s="108"/>
      <c r="T35" s="109"/>
      <c r="U35" s="108"/>
      <c r="V35" s="91"/>
      <c r="W35" s="92"/>
    </row>
    <row r="36" spans="1:23" x14ac:dyDescent="0.25">
      <c r="A36" s="25">
        <f t="shared" si="8"/>
        <v>24</v>
      </c>
      <c r="B36" s="401">
        <f t="shared" si="8"/>
        <v>46127</v>
      </c>
      <c r="C36" s="402"/>
      <c r="D36" s="110">
        <f t="shared" si="2"/>
        <v>94000</v>
      </c>
      <c r="E36" s="16"/>
      <c r="F36" s="16"/>
      <c r="G36" s="115">
        <f t="shared" si="7"/>
        <v>54000</v>
      </c>
      <c r="H36" s="102">
        <f>('Consumption Guide'!G31*O36)/1000</f>
        <v>9440</v>
      </c>
      <c r="I36" s="225">
        <f t="shared" si="0"/>
        <v>-9840</v>
      </c>
      <c r="J36" s="103">
        <f t="shared" si="5"/>
        <v>0</v>
      </c>
      <c r="K36" s="129"/>
      <c r="L36" s="274"/>
      <c r="M36" s="121"/>
      <c r="N36" s="112"/>
      <c r="O36" s="113">
        <f t="shared" si="3"/>
        <v>80000</v>
      </c>
      <c r="P36" s="107"/>
      <c r="Q36" s="102"/>
      <c r="R36" s="107">
        <f t="shared" si="6"/>
        <v>0</v>
      </c>
      <c r="S36" s="108"/>
      <c r="T36" s="109"/>
      <c r="U36" s="108"/>
      <c r="V36" s="91"/>
      <c r="W36" s="92"/>
    </row>
    <row r="37" spans="1:23" x14ac:dyDescent="0.25">
      <c r="A37" s="25">
        <f t="shared" si="8"/>
        <v>25</v>
      </c>
      <c r="B37" s="401">
        <f t="shared" si="8"/>
        <v>46128</v>
      </c>
      <c r="C37" s="402"/>
      <c r="D37" s="110">
        <f t="shared" si="2"/>
        <v>94000</v>
      </c>
      <c r="E37" s="16"/>
      <c r="F37" s="16"/>
      <c r="G37" s="123">
        <f>H4-E36</f>
        <v>136000</v>
      </c>
      <c r="H37" s="102">
        <f>('Consumption Guide'!G32*O37)/1000</f>
        <v>9760</v>
      </c>
      <c r="I37" s="225">
        <f t="shared" si="0"/>
        <v>-19600</v>
      </c>
      <c r="J37" s="103">
        <f t="shared" si="5"/>
        <v>0</v>
      </c>
      <c r="K37" s="122"/>
      <c r="L37" s="97"/>
      <c r="M37" s="121"/>
      <c r="N37" s="112"/>
      <c r="O37" s="113">
        <f t="shared" si="3"/>
        <v>80000</v>
      </c>
      <c r="P37" s="107"/>
      <c r="Q37" s="102"/>
      <c r="R37" s="107">
        <f t="shared" si="6"/>
        <v>0</v>
      </c>
      <c r="S37" s="108"/>
      <c r="T37" s="109"/>
      <c r="U37" s="108"/>
      <c r="V37" s="91"/>
      <c r="W37" s="92"/>
    </row>
    <row r="38" spans="1:23" s="124" customFormat="1" x14ac:dyDescent="0.25">
      <c r="A38" s="124">
        <f t="shared" si="8"/>
        <v>26</v>
      </c>
      <c r="B38" s="401">
        <f t="shared" si="8"/>
        <v>46129</v>
      </c>
      <c r="C38" s="402"/>
      <c r="D38" s="110">
        <f t="shared" si="2"/>
        <v>94000</v>
      </c>
      <c r="E38" s="16"/>
      <c r="F38" s="16"/>
      <c r="G38" s="123">
        <f t="shared" ref="G38:G44" si="9">G37-E38</f>
        <v>136000</v>
      </c>
      <c r="H38" s="102">
        <f>('Consumption Guide'!G33*O38)/1000</f>
        <v>10240</v>
      </c>
      <c r="I38" s="225">
        <f t="shared" si="0"/>
        <v>-29840</v>
      </c>
      <c r="J38" s="103">
        <f t="shared" si="5"/>
        <v>0</v>
      </c>
      <c r="K38" s="129"/>
      <c r="L38" s="274"/>
      <c r="M38" s="121"/>
      <c r="N38" s="126"/>
      <c r="O38" s="113">
        <f t="shared" si="3"/>
        <v>80000</v>
      </c>
      <c r="P38" s="107"/>
      <c r="Q38" s="102"/>
      <c r="R38" s="107">
        <f t="shared" si="6"/>
        <v>0</v>
      </c>
      <c r="S38" s="108"/>
      <c r="T38" s="109"/>
      <c r="U38" s="108"/>
      <c r="V38" s="127"/>
      <c r="W38" s="128"/>
    </row>
    <row r="39" spans="1:23" x14ac:dyDescent="0.25">
      <c r="A39" s="25">
        <f t="shared" si="8"/>
        <v>27</v>
      </c>
      <c r="B39" s="401">
        <f t="shared" si="8"/>
        <v>46130</v>
      </c>
      <c r="C39" s="402"/>
      <c r="D39" s="110">
        <f t="shared" si="2"/>
        <v>94000</v>
      </c>
      <c r="E39" s="16"/>
      <c r="F39" s="16"/>
      <c r="G39" s="123">
        <f t="shared" si="9"/>
        <v>136000</v>
      </c>
      <c r="H39" s="102">
        <f>('Consumption Guide'!G34*O39)/1000</f>
        <v>10720</v>
      </c>
      <c r="I39" s="225">
        <f t="shared" si="0"/>
        <v>-40560</v>
      </c>
      <c r="J39" s="103">
        <f t="shared" si="5"/>
        <v>0</v>
      </c>
      <c r="K39" s="129"/>
      <c r="L39" s="170"/>
      <c r="M39" s="171"/>
      <c r="N39" s="112"/>
      <c r="O39" s="113">
        <f t="shared" si="3"/>
        <v>80000</v>
      </c>
      <c r="P39" s="107"/>
      <c r="Q39" s="102"/>
      <c r="R39" s="107">
        <f t="shared" si="6"/>
        <v>0</v>
      </c>
      <c r="S39" s="108"/>
      <c r="T39" s="109"/>
      <c r="U39" s="108"/>
      <c r="V39" s="91"/>
      <c r="W39" s="92"/>
    </row>
    <row r="40" spans="1:23" x14ac:dyDescent="0.25">
      <c r="A40" s="25">
        <f t="shared" si="8"/>
        <v>28</v>
      </c>
      <c r="B40" s="401">
        <f t="shared" si="8"/>
        <v>46131</v>
      </c>
      <c r="C40" s="402"/>
      <c r="D40" s="110">
        <f t="shared" si="2"/>
        <v>94000</v>
      </c>
      <c r="E40" s="16"/>
      <c r="F40" s="16"/>
      <c r="G40" s="123">
        <f t="shared" si="9"/>
        <v>136000</v>
      </c>
      <c r="H40" s="102">
        <f>('Consumption Guide'!G35*O40)/1000</f>
        <v>11120</v>
      </c>
      <c r="I40" s="225">
        <f t="shared" si="0"/>
        <v>-51680</v>
      </c>
      <c r="J40" s="103">
        <f t="shared" si="5"/>
        <v>0</v>
      </c>
      <c r="K40" s="129"/>
      <c r="L40" s="170"/>
      <c r="M40" s="171"/>
      <c r="N40" s="131"/>
      <c r="O40" s="113">
        <f t="shared" si="3"/>
        <v>80000</v>
      </c>
      <c r="P40" s="107"/>
      <c r="Q40" s="102"/>
      <c r="R40" s="107">
        <f t="shared" si="6"/>
        <v>0</v>
      </c>
      <c r="S40" s="108"/>
      <c r="T40" s="109"/>
      <c r="U40" s="108"/>
      <c r="V40" s="91"/>
      <c r="W40" s="92"/>
    </row>
    <row r="41" spans="1:23" x14ac:dyDescent="0.25">
      <c r="A41" s="25">
        <f t="shared" si="8"/>
        <v>29</v>
      </c>
      <c r="B41" s="401">
        <f t="shared" si="8"/>
        <v>46132</v>
      </c>
      <c r="C41" s="402"/>
      <c r="D41" s="110">
        <f t="shared" si="2"/>
        <v>94000</v>
      </c>
      <c r="E41" s="16"/>
      <c r="F41" s="16"/>
      <c r="G41" s="123">
        <f t="shared" si="9"/>
        <v>136000</v>
      </c>
      <c r="H41" s="102">
        <f>('Consumption Guide'!G36*O41)/1000</f>
        <v>11200</v>
      </c>
      <c r="I41" s="225">
        <f t="shared" si="0"/>
        <v>-62880</v>
      </c>
      <c r="J41" s="103">
        <f t="shared" si="5"/>
        <v>0</v>
      </c>
      <c r="K41" s="129"/>
      <c r="L41" s="170"/>
      <c r="M41" s="171"/>
      <c r="N41" s="132"/>
      <c r="O41" s="113">
        <f t="shared" si="3"/>
        <v>80000</v>
      </c>
      <c r="P41" s="107"/>
      <c r="Q41" s="102"/>
      <c r="R41" s="107">
        <f t="shared" si="6"/>
        <v>0</v>
      </c>
      <c r="S41" s="108"/>
      <c r="T41" s="109"/>
      <c r="U41" s="108"/>
      <c r="V41" s="91"/>
      <c r="W41" s="92"/>
    </row>
    <row r="42" spans="1:23" x14ac:dyDescent="0.25">
      <c r="A42" s="25">
        <f t="shared" si="8"/>
        <v>30</v>
      </c>
      <c r="B42" s="401">
        <f t="shared" si="8"/>
        <v>46133</v>
      </c>
      <c r="C42" s="402"/>
      <c r="D42" s="110">
        <f t="shared" si="2"/>
        <v>94000</v>
      </c>
      <c r="E42" s="16"/>
      <c r="F42" s="16"/>
      <c r="G42" s="123">
        <f t="shared" si="9"/>
        <v>136000</v>
      </c>
      <c r="H42" s="102">
        <f>('Consumption Guide'!G37*O42)/1000</f>
        <v>11360</v>
      </c>
      <c r="I42" s="225">
        <f t="shared" si="0"/>
        <v>-74240</v>
      </c>
      <c r="J42" s="103">
        <f t="shared" si="5"/>
        <v>0</v>
      </c>
      <c r="K42" s="129"/>
      <c r="L42" s="170"/>
      <c r="M42" s="134"/>
      <c r="N42" s="132"/>
      <c r="O42" s="113">
        <f t="shared" si="3"/>
        <v>80000</v>
      </c>
      <c r="P42" s="107"/>
      <c r="Q42" s="102"/>
      <c r="R42" s="107">
        <f t="shared" si="6"/>
        <v>0</v>
      </c>
      <c r="S42" s="108"/>
      <c r="T42" s="109"/>
      <c r="U42" s="108"/>
      <c r="V42" s="91"/>
      <c r="W42" s="92"/>
    </row>
    <row r="43" spans="1:23" x14ac:dyDescent="0.25">
      <c r="A43" s="25">
        <f t="shared" si="8"/>
        <v>31</v>
      </c>
      <c r="B43" s="401">
        <f t="shared" si="8"/>
        <v>46134</v>
      </c>
      <c r="C43" s="402"/>
      <c r="D43" s="110">
        <f t="shared" si="2"/>
        <v>94000</v>
      </c>
      <c r="E43" s="16"/>
      <c r="F43" s="16"/>
      <c r="G43" s="123">
        <f t="shared" si="9"/>
        <v>136000</v>
      </c>
      <c r="H43" s="102">
        <f>('Consumption Guide'!G38*O43)/1000</f>
        <v>11920</v>
      </c>
      <c r="I43" s="225">
        <f t="shared" si="0"/>
        <v>-86160</v>
      </c>
      <c r="J43" s="103">
        <f t="shared" si="5"/>
        <v>0</v>
      </c>
      <c r="K43" s="129"/>
      <c r="L43" s="170"/>
      <c r="M43" s="134"/>
      <c r="N43" s="126"/>
      <c r="O43" s="113">
        <f t="shared" si="3"/>
        <v>80000</v>
      </c>
      <c r="P43" s="107"/>
      <c r="Q43" s="102"/>
      <c r="R43" s="107">
        <f t="shared" si="6"/>
        <v>0</v>
      </c>
      <c r="S43" s="108"/>
      <c r="T43" s="109"/>
      <c r="U43" s="108"/>
      <c r="V43" s="91"/>
      <c r="W43" s="92"/>
    </row>
    <row r="44" spans="1:23" x14ac:dyDescent="0.25">
      <c r="A44" s="25">
        <f t="shared" si="8"/>
        <v>32</v>
      </c>
      <c r="B44" s="401">
        <f t="shared" si="8"/>
        <v>46135</v>
      </c>
      <c r="C44" s="402"/>
      <c r="D44" s="110">
        <f t="shared" si="2"/>
        <v>94000</v>
      </c>
      <c r="E44" s="16"/>
      <c r="F44" s="16"/>
      <c r="G44" s="123">
        <f t="shared" si="9"/>
        <v>136000</v>
      </c>
      <c r="H44" s="102">
        <f>('Consumption Guide'!G39*O44)/1000</f>
        <v>12240</v>
      </c>
      <c r="I44" s="225">
        <f t="shared" si="0"/>
        <v>-98400</v>
      </c>
      <c r="J44" s="103">
        <f>(K44+M44+L44)</f>
        <v>0</v>
      </c>
      <c r="K44" s="129"/>
      <c r="L44" s="130"/>
      <c r="M44" s="134"/>
      <c r="N44" s="99"/>
      <c r="O44" s="113">
        <f t="shared" si="3"/>
        <v>80000</v>
      </c>
      <c r="P44" s="107"/>
      <c r="Q44" s="102"/>
      <c r="R44" s="107">
        <f t="shared" si="6"/>
        <v>0</v>
      </c>
      <c r="S44" s="108"/>
      <c r="T44" s="109"/>
      <c r="U44" s="108"/>
      <c r="V44" s="91"/>
      <c r="W44" s="92"/>
    </row>
    <row r="45" spans="1:23" s="124" customFormat="1" x14ac:dyDescent="0.25">
      <c r="A45" s="124">
        <f t="shared" si="8"/>
        <v>33</v>
      </c>
      <c r="B45" s="401">
        <f t="shared" si="8"/>
        <v>46136</v>
      </c>
      <c r="C45" s="402"/>
      <c r="D45" s="110">
        <f t="shared" si="2"/>
        <v>94000</v>
      </c>
      <c r="E45" s="16"/>
      <c r="F45" s="277"/>
      <c r="G45" s="135">
        <v>0</v>
      </c>
      <c r="H45" s="102">
        <f>('Consumption Guide'!G40*O45)/1000</f>
        <v>12640</v>
      </c>
      <c r="I45" s="225">
        <f t="shared" si="0"/>
        <v>-111040</v>
      </c>
      <c r="J45" s="103">
        <f t="shared" si="5"/>
        <v>0</v>
      </c>
      <c r="K45" s="129"/>
      <c r="L45" s="130"/>
      <c r="M45" s="134"/>
      <c r="N45" s="99"/>
      <c r="O45" s="113">
        <f t="shared" si="3"/>
        <v>80000</v>
      </c>
      <c r="P45" s="136"/>
      <c r="Q45" s="102"/>
      <c r="R45" s="107">
        <f t="shared" si="6"/>
        <v>0</v>
      </c>
      <c r="S45" s="108"/>
      <c r="T45" s="109"/>
      <c r="U45" s="108"/>
      <c r="V45" s="127"/>
      <c r="W45" s="128"/>
    </row>
    <row r="46" spans="1:23" x14ac:dyDescent="0.25">
      <c r="A46" s="25">
        <f t="shared" si="8"/>
        <v>34</v>
      </c>
      <c r="B46" s="401">
        <f t="shared" si="8"/>
        <v>46137</v>
      </c>
      <c r="C46" s="402"/>
      <c r="D46" s="110">
        <f t="shared" si="2"/>
        <v>94000</v>
      </c>
      <c r="E46" s="16"/>
      <c r="F46" s="99"/>
      <c r="G46" s="135">
        <v>0</v>
      </c>
      <c r="H46" s="102">
        <f>('Consumption Guide'!G41*O46)/1000</f>
        <v>13040</v>
      </c>
      <c r="I46" s="225">
        <f t="shared" si="0"/>
        <v>-124080</v>
      </c>
      <c r="J46" s="103">
        <f t="shared" si="5"/>
        <v>0</v>
      </c>
      <c r="K46" s="129"/>
      <c r="L46" s="130"/>
      <c r="M46" s="134"/>
      <c r="N46" s="112"/>
      <c r="O46" s="113">
        <f t="shared" ref="O46:O72" si="10">SUM(O45-N46)</f>
        <v>80000</v>
      </c>
      <c r="P46" s="136"/>
      <c r="Q46" s="102"/>
      <c r="R46" s="107">
        <f t="shared" si="6"/>
        <v>0</v>
      </c>
      <c r="S46" s="108"/>
      <c r="T46" s="109"/>
      <c r="U46" s="108"/>
      <c r="V46" s="91"/>
      <c r="W46" s="92"/>
    </row>
    <row r="47" spans="1:23" x14ac:dyDescent="0.25">
      <c r="A47" s="25">
        <f t="shared" ref="A47:B62" si="11">A46+1</f>
        <v>35</v>
      </c>
      <c r="B47" s="401">
        <f t="shared" si="11"/>
        <v>46138</v>
      </c>
      <c r="C47" s="402"/>
      <c r="D47" s="110">
        <f t="shared" si="2"/>
        <v>94000</v>
      </c>
      <c r="E47" s="16"/>
      <c r="F47" s="16"/>
      <c r="G47" s="135">
        <v>0</v>
      </c>
      <c r="H47" s="102">
        <f>('Consumption Guide'!G42*O47)/1000</f>
        <v>13200</v>
      </c>
      <c r="I47" s="225">
        <f t="shared" si="0"/>
        <v>-137280</v>
      </c>
      <c r="J47" s="103">
        <f t="shared" si="5"/>
        <v>0</v>
      </c>
      <c r="K47" s="129"/>
      <c r="L47" s="130"/>
      <c r="M47" s="134"/>
      <c r="N47" s="112"/>
      <c r="O47" s="113">
        <f t="shared" si="10"/>
        <v>80000</v>
      </c>
      <c r="P47" s="136"/>
      <c r="Q47" s="102"/>
      <c r="R47" s="107">
        <f t="shared" si="6"/>
        <v>0</v>
      </c>
      <c r="S47" s="108"/>
      <c r="T47" s="109"/>
      <c r="U47" s="108"/>
      <c r="V47" s="91"/>
      <c r="W47" s="92"/>
    </row>
    <row r="48" spans="1:23" x14ac:dyDescent="0.25">
      <c r="A48" s="25">
        <f t="shared" si="11"/>
        <v>36</v>
      </c>
      <c r="B48" s="401">
        <f t="shared" si="11"/>
        <v>46139</v>
      </c>
      <c r="C48" s="402"/>
      <c r="D48" s="110">
        <f t="shared" si="2"/>
        <v>94000</v>
      </c>
      <c r="E48" s="16"/>
      <c r="F48" s="99"/>
      <c r="G48" s="135">
        <v>0</v>
      </c>
      <c r="H48" s="102">
        <f>('Consumption Guide'!G43*O48)/1000</f>
        <v>13440</v>
      </c>
      <c r="I48" s="225">
        <f t="shared" si="0"/>
        <v>-150720</v>
      </c>
      <c r="J48" s="103">
        <f t="shared" si="5"/>
        <v>0</v>
      </c>
      <c r="K48" s="129"/>
      <c r="L48" s="130"/>
      <c r="M48" s="134"/>
      <c r="N48" s="131"/>
      <c r="O48" s="113">
        <f t="shared" si="10"/>
        <v>80000</v>
      </c>
      <c r="P48" s="136"/>
      <c r="Q48" s="102"/>
      <c r="R48" s="107">
        <f t="shared" si="6"/>
        <v>0</v>
      </c>
      <c r="S48" s="108"/>
      <c r="T48" s="109"/>
      <c r="U48" s="108"/>
      <c r="V48" s="91"/>
      <c r="W48" s="92"/>
    </row>
    <row r="49" spans="1:23" x14ac:dyDescent="0.25">
      <c r="A49" s="25">
        <f t="shared" si="11"/>
        <v>37</v>
      </c>
      <c r="B49" s="401">
        <f t="shared" si="11"/>
        <v>46140</v>
      </c>
      <c r="C49" s="402"/>
      <c r="D49" s="110">
        <f t="shared" si="2"/>
        <v>94000</v>
      </c>
      <c r="E49" s="99"/>
      <c r="F49" s="99"/>
      <c r="G49" s="135">
        <v>0</v>
      </c>
      <c r="H49" s="102">
        <f>('Consumption Guide'!G44*O49)/1000</f>
        <v>13680</v>
      </c>
      <c r="I49" s="225">
        <f t="shared" si="0"/>
        <v>-164400</v>
      </c>
      <c r="J49" s="103">
        <f t="shared" si="5"/>
        <v>0</v>
      </c>
      <c r="K49" s="129"/>
      <c r="L49" s="130"/>
      <c r="M49" s="134"/>
      <c r="N49" s="99"/>
      <c r="O49" s="113">
        <f t="shared" si="10"/>
        <v>80000</v>
      </c>
      <c r="P49" s="136"/>
      <c r="Q49" s="102"/>
      <c r="R49" s="107">
        <f t="shared" si="6"/>
        <v>0</v>
      </c>
      <c r="S49" s="108"/>
      <c r="T49" s="109"/>
      <c r="U49" s="108"/>
      <c r="V49" s="91"/>
      <c r="W49" s="92"/>
    </row>
    <row r="50" spans="1:23" x14ac:dyDescent="0.25">
      <c r="A50" s="25">
        <f t="shared" si="11"/>
        <v>38</v>
      </c>
      <c r="B50" s="401">
        <f t="shared" si="11"/>
        <v>46141</v>
      </c>
      <c r="C50" s="402"/>
      <c r="D50" s="110">
        <f t="shared" si="2"/>
        <v>94000</v>
      </c>
      <c r="E50" s="99"/>
      <c r="F50" s="99"/>
      <c r="G50" s="135">
        <v>0</v>
      </c>
      <c r="H50" s="102">
        <f>('Consumption Guide'!G45*O50)/1000</f>
        <v>13920</v>
      </c>
      <c r="I50" s="225">
        <f t="shared" si="0"/>
        <v>-178320</v>
      </c>
      <c r="J50" s="103">
        <f t="shared" si="5"/>
        <v>0</v>
      </c>
      <c r="K50" s="129"/>
      <c r="L50" s="130"/>
      <c r="M50" s="134"/>
      <c r="N50" s="99"/>
      <c r="O50" s="113">
        <f t="shared" si="10"/>
        <v>80000</v>
      </c>
      <c r="P50" s="136"/>
      <c r="Q50" s="102"/>
      <c r="R50" s="107">
        <f t="shared" si="6"/>
        <v>0</v>
      </c>
      <c r="S50" s="108"/>
      <c r="T50" s="109"/>
      <c r="U50" s="108"/>
      <c r="V50" s="91"/>
      <c r="W50" s="92"/>
    </row>
    <row r="51" spans="1:23" x14ac:dyDescent="0.25">
      <c r="A51" s="25">
        <f t="shared" si="11"/>
        <v>39</v>
      </c>
      <c r="B51" s="401">
        <f t="shared" si="11"/>
        <v>46142</v>
      </c>
      <c r="C51" s="402"/>
      <c r="D51" s="110">
        <f t="shared" si="2"/>
        <v>94000</v>
      </c>
      <c r="E51" s="16"/>
      <c r="F51" s="16"/>
      <c r="G51" s="135">
        <v>0</v>
      </c>
      <c r="H51" s="102">
        <f>('Consumption Guide'!G46*O51)/1000</f>
        <v>14080</v>
      </c>
      <c r="I51" s="225">
        <f t="shared" si="0"/>
        <v>-192400</v>
      </c>
      <c r="J51" s="103">
        <f t="shared" si="5"/>
        <v>0</v>
      </c>
      <c r="K51" s="129"/>
      <c r="L51" s="130"/>
      <c r="M51" s="134"/>
      <c r="N51" s="16"/>
      <c r="O51" s="113">
        <f t="shared" si="10"/>
        <v>80000</v>
      </c>
      <c r="P51" s="136"/>
      <c r="Q51" s="102"/>
      <c r="R51" s="107">
        <f t="shared" si="6"/>
        <v>0</v>
      </c>
      <c r="S51" s="108"/>
      <c r="T51" s="109"/>
      <c r="U51" s="108"/>
      <c r="V51" s="91"/>
      <c r="W51" s="92"/>
    </row>
    <row r="52" spans="1:23" x14ac:dyDescent="0.25">
      <c r="A52" s="25">
        <f t="shared" si="11"/>
        <v>40</v>
      </c>
      <c r="B52" s="401">
        <f t="shared" si="11"/>
        <v>46143</v>
      </c>
      <c r="C52" s="402"/>
      <c r="D52" s="110">
        <f t="shared" si="2"/>
        <v>94000</v>
      </c>
      <c r="E52" s="99"/>
      <c r="F52" s="99"/>
      <c r="G52" s="135">
        <v>0</v>
      </c>
      <c r="H52" s="102">
        <f>('Consumption Guide'!G47*O52)/1000</f>
        <v>14240</v>
      </c>
      <c r="I52" s="225">
        <f t="shared" si="0"/>
        <v>-206640</v>
      </c>
      <c r="J52" s="103">
        <f t="shared" si="5"/>
        <v>0</v>
      </c>
      <c r="K52" s="129"/>
      <c r="L52" s="130"/>
      <c r="M52" s="134"/>
      <c r="N52" s="99"/>
      <c r="O52" s="113">
        <f t="shared" si="10"/>
        <v>80000</v>
      </c>
      <c r="P52" s="136"/>
      <c r="Q52" s="102"/>
      <c r="R52" s="107">
        <f t="shared" si="6"/>
        <v>0</v>
      </c>
      <c r="S52" s="108"/>
      <c r="T52" s="109"/>
      <c r="U52" s="108"/>
      <c r="V52" s="91"/>
      <c r="W52" s="92"/>
    </row>
    <row r="53" spans="1:23" x14ac:dyDescent="0.25">
      <c r="A53" s="139">
        <f t="shared" si="11"/>
        <v>41</v>
      </c>
      <c r="B53" s="401">
        <f t="shared" si="11"/>
        <v>46144</v>
      </c>
      <c r="C53" s="402"/>
      <c r="D53" s="140">
        <f t="shared" si="2"/>
        <v>94000</v>
      </c>
      <c r="E53" s="99"/>
      <c r="F53" s="99"/>
      <c r="G53" s="135">
        <v>0</v>
      </c>
      <c r="H53" s="141">
        <f>('Consumption Guide'!G48*O53)/1000</f>
        <v>14400</v>
      </c>
      <c r="I53" s="226">
        <f t="shared" si="0"/>
        <v>-221040</v>
      </c>
      <c r="J53" s="103">
        <f t="shared" si="5"/>
        <v>0</v>
      </c>
      <c r="K53" s="138"/>
      <c r="L53" s="99"/>
      <c r="M53" s="142"/>
      <c r="N53" s="130"/>
      <c r="O53" s="113">
        <f t="shared" si="10"/>
        <v>80000</v>
      </c>
      <c r="P53" s="136"/>
      <c r="Q53" s="102"/>
      <c r="R53" s="107">
        <f t="shared" si="6"/>
        <v>0</v>
      </c>
      <c r="S53" s="108"/>
      <c r="T53" s="109"/>
      <c r="U53" s="108"/>
      <c r="V53" s="91"/>
      <c r="W53" s="92"/>
    </row>
    <row r="54" spans="1:23" ht="22.5" customHeight="1" x14ac:dyDescent="0.25">
      <c r="A54" s="25">
        <f t="shared" si="11"/>
        <v>42</v>
      </c>
      <c r="B54" s="401">
        <f t="shared" si="11"/>
        <v>46145</v>
      </c>
      <c r="C54" s="402"/>
      <c r="D54" s="110">
        <f t="shared" si="2"/>
        <v>94000</v>
      </c>
      <c r="E54" s="99"/>
      <c r="F54" s="99"/>
      <c r="G54" s="135">
        <v>0</v>
      </c>
      <c r="H54" s="102">
        <f>('Consumption Guide'!G49*O54)/1000</f>
        <v>14480</v>
      </c>
      <c r="I54" s="225">
        <f t="shared" si="0"/>
        <v>-235520</v>
      </c>
      <c r="J54" s="103">
        <f t="shared" si="5"/>
        <v>0</v>
      </c>
      <c r="K54" s="138"/>
      <c r="L54" s="99"/>
      <c r="M54" s="142"/>
      <c r="N54" s="99"/>
      <c r="O54" s="113">
        <f t="shared" si="10"/>
        <v>80000</v>
      </c>
      <c r="P54" s="136"/>
      <c r="Q54" s="102"/>
      <c r="R54" s="107">
        <f t="shared" si="6"/>
        <v>0</v>
      </c>
      <c r="S54" s="108"/>
      <c r="T54" s="109"/>
      <c r="U54" s="109"/>
      <c r="V54" s="91"/>
      <c r="W54" s="92"/>
    </row>
    <row r="55" spans="1:23" x14ac:dyDescent="0.25">
      <c r="A55" s="25">
        <f t="shared" si="11"/>
        <v>43</v>
      </c>
      <c r="B55" s="401">
        <f t="shared" si="11"/>
        <v>46146</v>
      </c>
      <c r="C55" s="402"/>
      <c r="D55" s="110">
        <f t="shared" si="2"/>
        <v>94000</v>
      </c>
      <c r="E55" s="99"/>
      <c r="F55" s="99"/>
      <c r="G55" s="135">
        <v>0</v>
      </c>
      <c r="H55" s="102">
        <f>('Consumption Guide'!G50*O55)/1000</f>
        <v>15040</v>
      </c>
      <c r="I55" s="225">
        <f t="shared" si="0"/>
        <v>-250560</v>
      </c>
      <c r="J55" s="103">
        <f t="shared" si="5"/>
        <v>0</v>
      </c>
      <c r="K55" s="138"/>
      <c r="L55" s="99"/>
      <c r="M55" s="118"/>
      <c r="N55" s="99"/>
      <c r="O55" s="113">
        <f t="shared" si="10"/>
        <v>80000</v>
      </c>
      <c r="P55" s="136"/>
      <c r="Q55" s="102"/>
      <c r="R55" s="107">
        <f t="shared" si="6"/>
        <v>0</v>
      </c>
      <c r="S55" s="108"/>
      <c r="T55" s="109"/>
      <c r="U55" s="108"/>
      <c r="V55" s="91"/>
      <c r="W55" s="92"/>
    </row>
    <row r="56" spans="1:23" x14ac:dyDescent="0.25">
      <c r="A56" s="25">
        <f t="shared" si="11"/>
        <v>44</v>
      </c>
      <c r="B56" s="401">
        <f t="shared" si="11"/>
        <v>46147</v>
      </c>
      <c r="C56" s="402"/>
      <c r="D56" s="110">
        <f t="shared" si="2"/>
        <v>94000</v>
      </c>
      <c r="E56" s="99"/>
      <c r="F56" s="99"/>
      <c r="G56" s="135">
        <v>0</v>
      </c>
      <c r="H56" s="102">
        <f>('Consumption Guide'!G51*O56)/1000</f>
        <v>15200</v>
      </c>
      <c r="I56" s="225">
        <f t="shared" si="0"/>
        <v>-265760</v>
      </c>
      <c r="J56" s="103">
        <f t="shared" si="5"/>
        <v>0</v>
      </c>
      <c r="K56" s="138"/>
      <c r="L56" s="99"/>
      <c r="M56" s="118"/>
      <c r="N56" s="130"/>
      <c r="O56" s="113">
        <f t="shared" si="10"/>
        <v>80000</v>
      </c>
      <c r="P56" s="136"/>
      <c r="Q56" s="102"/>
      <c r="R56" s="107">
        <f t="shared" si="6"/>
        <v>0</v>
      </c>
      <c r="S56" s="108"/>
      <c r="T56" s="109"/>
      <c r="U56" s="108"/>
      <c r="V56" s="91"/>
      <c r="W56" s="92"/>
    </row>
    <row r="57" spans="1:23" s="124" customFormat="1" x14ac:dyDescent="0.25">
      <c r="A57" s="124">
        <f t="shared" si="11"/>
        <v>45</v>
      </c>
      <c r="B57" s="401">
        <f t="shared" si="11"/>
        <v>46148</v>
      </c>
      <c r="C57" s="402"/>
      <c r="D57" s="110">
        <f t="shared" si="2"/>
        <v>94000</v>
      </c>
      <c r="E57" s="99"/>
      <c r="F57" s="99"/>
      <c r="G57" s="135">
        <v>0</v>
      </c>
      <c r="H57" s="102">
        <f>('Consumption Guide'!G52*O57)/1000</f>
        <v>15360</v>
      </c>
      <c r="I57" s="102">
        <f t="shared" si="0"/>
        <v>-281120</v>
      </c>
      <c r="J57" s="103">
        <f t="shared" si="5"/>
        <v>0</v>
      </c>
      <c r="K57" s="138"/>
      <c r="L57" s="99"/>
      <c r="M57" s="118"/>
      <c r="N57" s="99"/>
      <c r="O57" s="113">
        <f t="shared" si="10"/>
        <v>80000</v>
      </c>
      <c r="P57" s="136"/>
      <c r="Q57" s="102"/>
      <c r="R57" s="107">
        <f t="shared" si="6"/>
        <v>0</v>
      </c>
      <c r="S57" s="108"/>
      <c r="T57" s="109"/>
      <c r="U57" s="109"/>
      <c r="V57" s="127"/>
      <c r="W57" s="128"/>
    </row>
    <row r="58" spans="1:23" s="124" customFormat="1" x14ac:dyDescent="0.25">
      <c r="A58" s="124">
        <f t="shared" si="11"/>
        <v>46</v>
      </c>
      <c r="B58" s="401">
        <f t="shared" si="11"/>
        <v>46149</v>
      </c>
      <c r="C58" s="402"/>
      <c r="D58" s="110">
        <f t="shared" si="2"/>
        <v>94000</v>
      </c>
      <c r="E58" s="99"/>
      <c r="F58" s="99"/>
      <c r="G58" s="135">
        <v>0</v>
      </c>
      <c r="H58" s="102">
        <f>('Consumption Guide'!G53*O58)/1000</f>
        <v>15440</v>
      </c>
      <c r="I58" s="225">
        <f t="shared" si="0"/>
        <v>-296560</v>
      </c>
      <c r="J58" s="103">
        <v>0</v>
      </c>
      <c r="K58" s="138"/>
      <c r="L58" s="99"/>
      <c r="M58" s="118"/>
      <c r="N58" s="99"/>
      <c r="O58" s="113">
        <f t="shared" si="10"/>
        <v>80000</v>
      </c>
      <c r="P58" s="136"/>
      <c r="Q58" s="102"/>
      <c r="R58" s="107">
        <f t="shared" si="6"/>
        <v>0</v>
      </c>
      <c r="S58" s="108"/>
      <c r="T58" s="109"/>
      <c r="U58" s="109"/>
      <c r="V58" s="127"/>
      <c r="W58" s="128"/>
    </row>
    <row r="59" spans="1:23" s="124" customFormat="1" x14ac:dyDescent="0.25">
      <c r="A59" s="124">
        <f t="shared" si="11"/>
        <v>47</v>
      </c>
      <c r="B59" s="401">
        <f t="shared" si="11"/>
        <v>46150</v>
      </c>
      <c r="C59" s="402"/>
      <c r="D59" s="110">
        <f>D58+E59</f>
        <v>94000</v>
      </c>
      <c r="E59" s="99"/>
      <c r="F59" s="99"/>
      <c r="G59" s="135">
        <v>0</v>
      </c>
      <c r="H59" s="102">
        <f>('Consumption Guide'!G54*O59)/1000</f>
        <v>15520</v>
      </c>
      <c r="I59" s="102">
        <f t="shared" si="0"/>
        <v>-312080</v>
      </c>
      <c r="J59" s="103">
        <f t="shared" si="5"/>
        <v>0</v>
      </c>
      <c r="K59" s="138"/>
      <c r="L59" s="99"/>
      <c r="M59" s="118"/>
      <c r="N59" s="99"/>
      <c r="O59" s="113">
        <f t="shared" si="10"/>
        <v>80000</v>
      </c>
      <c r="P59" s="136"/>
      <c r="Q59" s="102"/>
      <c r="R59" s="107">
        <f t="shared" si="6"/>
        <v>0</v>
      </c>
      <c r="S59" s="108"/>
      <c r="T59" s="109"/>
      <c r="U59" s="108"/>
      <c r="V59" s="127"/>
      <c r="W59" s="128"/>
    </row>
    <row r="60" spans="1:23" s="124" customFormat="1" x14ac:dyDescent="0.25">
      <c r="A60" s="124">
        <f t="shared" si="11"/>
        <v>48</v>
      </c>
      <c r="B60" s="401">
        <f t="shared" si="11"/>
        <v>46151</v>
      </c>
      <c r="C60" s="402"/>
      <c r="D60" s="110">
        <f t="shared" si="2"/>
        <v>94000</v>
      </c>
      <c r="E60" s="99"/>
      <c r="F60" s="99"/>
      <c r="G60" s="135">
        <v>0</v>
      </c>
      <c r="H60" s="102">
        <f>('Consumption Guide'!G55*O60)/1000</f>
        <v>15600</v>
      </c>
      <c r="I60" s="225">
        <f t="shared" si="0"/>
        <v>-327680</v>
      </c>
      <c r="J60" s="103">
        <f t="shared" si="5"/>
        <v>0</v>
      </c>
      <c r="K60" s="138"/>
      <c r="L60" s="99"/>
      <c r="M60" s="118"/>
      <c r="N60" s="16"/>
      <c r="O60" s="113">
        <f t="shared" si="10"/>
        <v>80000</v>
      </c>
      <c r="P60" s="136"/>
      <c r="Q60" s="102"/>
      <c r="R60" s="107">
        <f t="shared" si="6"/>
        <v>0</v>
      </c>
      <c r="S60" s="108"/>
      <c r="T60" s="109"/>
      <c r="U60" s="108"/>
      <c r="V60" s="127"/>
      <c r="W60" s="128"/>
    </row>
    <row r="61" spans="1:23" s="124" customFormat="1" x14ac:dyDescent="0.25">
      <c r="A61" s="124">
        <f t="shared" si="11"/>
        <v>49</v>
      </c>
      <c r="B61" s="401">
        <f t="shared" si="11"/>
        <v>46152</v>
      </c>
      <c r="C61" s="402"/>
      <c r="D61" s="110">
        <f>D60+E61</f>
        <v>94000</v>
      </c>
      <c r="E61" s="99"/>
      <c r="F61" s="99"/>
      <c r="G61" s="135">
        <v>0</v>
      </c>
      <c r="H61" s="102">
        <f>('Consumption Guide'!G56*O61)/1000</f>
        <v>15680</v>
      </c>
      <c r="I61" s="102">
        <f>IF((J61&gt;0),(J61-H61+E61),(I60-H61+E61))</f>
        <v>-343360</v>
      </c>
      <c r="J61" s="103">
        <f t="shared" si="5"/>
        <v>0</v>
      </c>
      <c r="K61" s="138"/>
      <c r="L61" s="99"/>
      <c r="M61" s="118"/>
      <c r="N61" s="99"/>
      <c r="O61" s="113">
        <f>SUM(O60-N61)</f>
        <v>80000</v>
      </c>
      <c r="P61" s="136"/>
      <c r="Q61" s="102"/>
      <c r="R61" s="107">
        <f t="shared" si="6"/>
        <v>0</v>
      </c>
      <c r="S61" s="108"/>
      <c r="T61" s="109"/>
      <c r="U61" s="108"/>
      <c r="V61" s="127"/>
      <c r="W61" s="128"/>
    </row>
    <row r="62" spans="1:23" s="124" customFormat="1" x14ac:dyDescent="0.25">
      <c r="A62" s="124">
        <f t="shared" si="11"/>
        <v>50</v>
      </c>
      <c r="B62" s="401">
        <f t="shared" si="11"/>
        <v>46153</v>
      </c>
      <c r="C62" s="402"/>
      <c r="D62" s="110">
        <f t="shared" si="2"/>
        <v>94000</v>
      </c>
      <c r="E62" s="99"/>
      <c r="F62" s="99"/>
      <c r="G62" s="135">
        <v>0</v>
      </c>
      <c r="H62" s="102">
        <f>('Consumption Guide'!G57*O62)/1000</f>
        <v>15760</v>
      </c>
      <c r="I62" s="102">
        <f t="shared" si="0"/>
        <v>-359120</v>
      </c>
      <c r="J62" s="103">
        <f t="shared" si="5"/>
        <v>0</v>
      </c>
      <c r="K62" s="138"/>
      <c r="L62" s="99"/>
      <c r="M62" s="118"/>
      <c r="N62" s="130"/>
      <c r="O62" s="113">
        <f>SUM(O61-N62)</f>
        <v>80000</v>
      </c>
      <c r="P62" s="136"/>
      <c r="Q62" s="102"/>
      <c r="R62" s="107">
        <f t="shared" si="6"/>
        <v>0</v>
      </c>
      <c r="S62" s="108"/>
      <c r="T62" s="109"/>
      <c r="U62" s="108"/>
      <c r="V62" s="127"/>
      <c r="W62" s="128"/>
    </row>
    <row r="63" spans="1:23" s="124" customFormat="1" x14ac:dyDescent="0.25">
      <c r="A63" s="124">
        <f t="shared" ref="A63:B72" si="12">A62+1</f>
        <v>51</v>
      </c>
      <c r="B63" s="401">
        <f t="shared" si="12"/>
        <v>46154</v>
      </c>
      <c r="C63" s="402"/>
      <c r="D63" s="110">
        <f t="shared" si="2"/>
        <v>94000</v>
      </c>
      <c r="E63" s="99"/>
      <c r="F63" s="99"/>
      <c r="G63" s="135">
        <v>0</v>
      </c>
      <c r="H63" s="102">
        <f>('Consumption Guide'!G58*O63)/1000</f>
        <v>15760</v>
      </c>
      <c r="I63" s="102">
        <f t="shared" si="0"/>
        <v>-374880</v>
      </c>
      <c r="J63" s="103">
        <f>(K63+M63+L63)</f>
        <v>0</v>
      </c>
      <c r="K63" s="138"/>
      <c r="L63" s="99"/>
      <c r="M63" s="118"/>
      <c r="N63" s="99"/>
      <c r="O63" s="113">
        <f t="shared" si="10"/>
        <v>80000</v>
      </c>
      <c r="P63" s="143"/>
      <c r="Q63" s="102"/>
      <c r="R63" s="107">
        <f t="shared" si="6"/>
        <v>0</v>
      </c>
      <c r="S63" s="108"/>
      <c r="T63" s="109"/>
      <c r="U63" s="109"/>
      <c r="V63" s="127"/>
      <c r="W63" s="128"/>
    </row>
    <row r="64" spans="1:23" s="124" customFormat="1" x14ac:dyDescent="0.25">
      <c r="A64" s="124">
        <f t="shared" si="12"/>
        <v>52</v>
      </c>
      <c r="B64" s="401">
        <f t="shared" si="12"/>
        <v>46155</v>
      </c>
      <c r="C64" s="402"/>
      <c r="D64" s="110">
        <f t="shared" si="2"/>
        <v>94000</v>
      </c>
      <c r="E64" s="99"/>
      <c r="F64" s="99"/>
      <c r="G64" s="135">
        <v>0</v>
      </c>
      <c r="H64" s="102">
        <f>('Consumption Guide'!G59*O64)/1000</f>
        <v>15760</v>
      </c>
      <c r="I64" s="102">
        <f t="shared" si="0"/>
        <v>-390640</v>
      </c>
      <c r="J64" s="103">
        <f>(K64+M64+L64)</f>
        <v>0</v>
      </c>
      <c r="K64" s="138"/>
      <c r="L64" s="99"/>
      <c r="M64" s="119"/>
      <c r="N64" s="99"/>
      <c r="O64" s="113">
        <f t="shared" si="10"/>
        <v>80000</v>
      </c>
      <c r="P64" s="136"/>
      <c r="Q64" s="102"/>
      <c r="R64" s="107">
        <f t="shared" si="6"/>
        <v>0</v>
      </c>
      <c r="S64" s="108"/>
      <c r="T64" s="109"/>
      <c r="U64" s="144"/>
      <c r="V64" s="127"/>
      <c r="W64" s="128"/>
    </row>
    <row r="65" spans="1:23" s="124" customFormat="1" x14ac:dyDescent="0.25">
      <c r="A65" s="124">
        <f t="shared" si="12"/>
        <v>53</v>
      </c>
      <c r="B65" s="401">
        <f t="shared" si="12"/>
        <v>46156</v>
      </c>
      <c r="C65" s="402"/>
      <c r="D65" s="110">
        <f t="shared" si="2"/>
        <v>94000</v>
      </c>
      <c r="E65" s="99"/>
      <c r="F65" s="99"/>
      <c r="G65" s="135">
        <v>0</v>
      </c>
      <c r="H65" s="102">
        <f>('Consumption Guide'!G60*O65)/1000</f>
        <v>15840</v>
      </c>
      <c r="I65" s="102">
        <f t="shared" si="0"/>
        <v>-406480</v>
      </c>
      <c r="J65" s="103">
        <f>(K65+M65+L65)</f>
        <v>0</v>
      </c>
      <c r="K65" s="138"/>
      <c r="L65" s="99"/>
      <c r="M65" s="119"/>
      <c r="N65" s="99"/>
      <c r="O65" s="113">
        <f t="shared" si="10"/>
        <v>80000</v>
      </c>
      <c r="P65" s="136"/>
      <c r="Q65" s="102"/>
      <c r="R65" s="107">
        <f t="shared" si="6"/>
        <v>0</v>
      </c>
      <c r="S65" s="108"/>
      <c r="T65" s="109"/>
      <c r="U65" s="109"/>
      <c r="V65" s="127"/>
      <c r="W65" s="128"/>
    </row>
    <row r="66" spans="1:23" s="124" customFormat="1" x14ac:dyDescent="0.25">
      <c r="A66" s="124">
        <f t="shared" si="12"/>
        <v>54</v>
      </c>
      <c r="B66" s="401">
        <f t="shared" si="12"/>
        <v>46157</v>
      </c>
      <c r="C66" s="402"/>
      <c r="D66" s="110">
        <f t="shared" si="2"/>
        <v>94000</v>
      </c>
      <c r="E66" s="99"/>
      <c r="F66" s="99"/>
      <c r="G66" s="135">
        <v>0</v>
      </c>
      <c r="H66" s="102">
        <f>('Consumption Guide'!G61*O66)/1000</f>
        <v>15760</v>
      </c>
      <c r="I66" s="102">
        <f t="shared" si="0"/>
        <v>-422240</v>
      </c>
      <c r="J66" s="103">
        <f>(K66+M66+L66)</f>
        <v>0</v>
      </c>
      <c r="K66" s="138"/>
      <c r="L66" s="99"/>
      <c r="M66" s="119"/>
      <c r="N66" s="99"/>
      <c r="O66" s="113">
        <f t="shared" si="10"/>
        <v>80000</v>
      </c>
      <c r="P66" s="173"/>
      <c r="Q66" s="102"/>
      <c r="R66" s="107">
        <f t="shared" si="6"/>
        <v>0</v>
      </c>
      <c r="S66" s="108"/>
      <c r="T66" s="109"/>
      <c r="U66" s="109"/>
      <c r="V66" s="127"/>
      <c r="W66" s="128"/>
    </row>
    <row r="67" spans="1:23" s="124" customFormat="1" x14ac:dyDescent="0.25">
      <c r="A67" s="124">
        <f t="shared" si="12"/>
        <v>55</v>
      </c>
      <c r="B67" s="401">
        <f t="shared" si="12"/>
        <v>46158</v>
      </c>
      <c r="C67" s="402"/>
      <c r="D67" s="110">
        <f t="shared" si="2"/>
        <v>94000</v>
      </c>
      <c r="E67" s="99"/>
      <c r="F67" s="99"/>
      <c r="G67" s="135">
        <v>0</v>
      </c>
      <c r="H67" s="102">
        <f>('Consumption Guide'!G62*O67)/1000</f>
        <v>15840</v>
      </c>
      <c r="I67" s="225">
        <f t="shared" si="0"/>
        <v>-438080</v>
      </c>
      <c r="J67" s="103">
        <f t="shared" si="5"/>
        <v>0</v>
      </c>
      <c r="K67" s="138"/>
      <c r="L67" s="99"/>
      <c r="M67" s="119"/>
      <c r="N67" s="99"/>
      <c r="O67" s="113">
        <f t="shared" si="10"/>
        <v>80000</v>
      </c>
      <c r="P67" s="136"/>
      <c r="Q67" s="102"/>
      <c r="R67" s="107">
        <f t="shared" si="6"/>
        <v>0</v>
      </c>
      <c r="S67" s="108"/>
      <c r="T67" s="109"/>
      <c r="U67" s="109"/>
      <c r="V67" s="127"/>
      <c r="W67" s="128"/>
    </row>
    <row r="68" spans="1:23" x14ac:dyDescent="0.25">
      <c r="A68" s="25">
        <f t="shared" si="12"/>
        <v>56</v>
      </c>
      <c r="B68" s="401">
        <f t="shared" si="12"/>
        <v>46159</v>
      </c>
      <c r="C68" s="402"/>
      <c r="D68" s="110">
        <f t="shared" si="2"/>
        <v>94000</v>
      </c>
      <c r="E68" s="99"/>
      <c r="F68" s="99"/>
      <c r="G68" s="135">
        <v>0</v>
      </c>
      <c r="H68" s="102">
        <f>('Consumption Guide'!G63*O68)/1000</f>
        <v>15760</v>
      </c>
      <c r="I68" s="225">
        <f t="shared" si="0"/>
        <v>-453840</v>
      </c>
      <c r="J68" s="103">
        <f t="shared" si="5"/>
        <v>0</v>
      </c>
      <c r="K68" s="145"/>
      <c r="L68" s="97"/>
      <c r="M68" s="119"/>
      <c r="N68" s="130"/>
      <c r="O68" s="113">
        <f t="shared" si="10"/>
        <v>80000</v>
      </c>
      <c r="P68" s="136"/>
      <c r="Q68" s="102"/>
      <c r="R68" s="107">
        <f t="shared" si="6"/>
        <v>0</v>
      </c>
      <c r="S68" s="108"/>
      <c r="T68" s="109"/>
      <c r="U68" s="109"/>
      <c r="V68" s="91"/>
      <c r="W68" s="92"/>
    </row>
    <row r="69" spans="1:23" s="124" customFormat="1" x14ac:dyDescent="0.25">
      <c r="A69" s="124">
        <f t="shared" si="12"/>
        <v>57</v>
      </c>
      <c r="B69" s="401">
        <f t="shared" si="12"/>
        <v>46160</v>
      </c>
      <c r="C69" s="402"/>
      <c r="D69" s="110">
        <f t="shared" si="2"/>
        <v>94000</v>
      </c>
      <c r="E69" s="99"/>
      <c r="F69" s="99"/>
      <c r="G69" s="135">
        <f>G68-E69</f>
        <v>0</v>
      </c>
      <c r="H69" s="102">
        <f>('Consumption Guide'!G64*O69)/1000</f>
        <v>15600</v>
      </c>
      <c r="I69" s="225">
        <f t="shared" si="0"/>
        <v>-469440</v>
      </c>
      <c r="J69" s="103">
        <f t="shared" si="5"/>
        <v>0</v>
      </c>
      <c r="K69" s="145"/>
      <c r="L69" s="97"/>
      <c r="M69" s="119"/>
      <c r="N69" s="130"/>
      <c r="O69" s="113">
        <f t="shared" si="10"/>
        <v>80000</v>
      </c>
      <c r="P69" s="136"/>
      <c r="Q69" s="102"/>
      <c r="R69" s="107">
        <f t="shared" si="6"/>
        <v>0</v>
      </c>
      <c r="S69" s="108"/>
      <c r="T69" s="109"/>
      <c r="U69" s="109"/>
      <c r="V69" s="127"/>
      <c r="W69" s="128"/>
    </row>
    <row r="70" spans="1:23" x14ac:dyDescent="0.25">
      <c r="A70" s="25">
        <f t="shared" si="12"/>
        <v>58</v>
      </c>
      <c r="B70" s="401">
        <f t="shared" si="12"/>
        <v>46161</v>
      </c>
      <c r="C70" s="402"/>
      <c r="D70" s="110">
        <f t="shared" si="2"/>
        <v>94000</v>
      </c>
      <c r="E70" s="99"/>
      <c r="F70" s="99"/>
      <c r="G70" s="135">
        <f>G69-E70</f>
        <v>0</v>
      </c>
      <c r="H70" s="102">
        <f>('Consumption Guide'!G65*O70)/1000</f>
        <v>15600</v>
      </c>
      <c r="I70" s="225">
        <f t="shared" si="0"/>
        <v>-485040</v>
      </c>
      <c r="J70" s="103">
        <v>0</v>
      </c>
      <c r="K70" s="146"/>
      <c r="L70" s="147"/>
      <c r="M70" s="148"/>
      <c r="N70" s="130"/>
      <c r="O70" s="102">
        <f t="shared" si="10"/>
        <v>80000</v>
      </c>
      <c r="P70" s="107"/>
      <c r="Q70" s="102"/>
      <c r="R70" s="107">
        <f t="shared" si="6"/>
        <v>0</v>
      </c>
      <c r="S70" s="108"/>
      <c r="T70" s="109"/>
      <c r="U70" s="109"/>
      <c r="V70" s="91"/>
      <c r="W70" s="23"/>
    </row>
    <row r="71" spans="1:23" x14ac:dyDescent="0.25">
      <c r="A71" s="25">
        <f t="shared" si="12"/>
        <v>59</v>
      </c>
      <c r="B71" s="401">
        <f t="shared" si="12"/>
        <v>46162</v>
      </c>
      <c r="C71" s="402"/>
      <c r="D71" s="110">
        <f t="shared" si="2"/>
        <v>94000</v>
      </c>
      <c r="E71" s="99"/>
      <c r="F71" s="99"/>
      <c r="G71" s="99"/>
      <c r="H71" s="102">
        <f>('Consumption Guide'!G66*O71)/1000</f>
        <v>15600</v>
      </c>
      <c r="I71" s="225">
        <f t="shared" si="0"/>
        <v>-500640</v>
      </c>
      <c r="J71" s="103">
        <f t="shared" si="5"/>
        <v>0</v>
      </c>
      <c r="K71" s="146"/>
      <c r="L71" s="147"/>
      <c r="M71" s="148"/>
      <c r="N71" s="130"/>
      <c r="O71" s="102">
        <f t="shared" si="10"/>
        <v>80000</v>
      </c>
      <c r="P71" s="136"/>
      <c r="Q71" s="102"/>
      <c r="R71" s="107">
        <f t="shared" si="6"/>
        <v>0</v>
      </c>
      <c r="S71" s="108"/>
      <c r="T71" s="109"/>
      <c r="U71" s="109"/>
      <c r="V71" s="91"/>
      <c r="W71" s="23"/>
    </row>
    <row r="72" spans="1:23" ht="23.25" thickBot="1" x14ac:dyDescent="0.3">
      <c r="A72" s="25">
        <f t="shared" si="12"/>
        <v>60</v>
      </c>
      <c r="B72" s="403"/>
      <c r="C72" s="404"/>
      <c r="D72" s="149">
        <f t="shared" si="2"/>
        <v>94000</v>
      </c>
      <c r="E72" s="150"/>
      <c r="F72" s="150"/>
      <c r="G72" s="150"/>
      <c r="H72" s="151">
        <f>('Consumption Guide'!G67*O72)/1000</f>
        <v>15600</v>
      </c>
      <c r="I72" s="227">
        <f t="shared" si="0"/>
        <v>-516240</v>
      </c>
      <c r="J72" s="152">
        <f t="shared" si="5"/>
        <v>0</v>
      </c>
      <c r="K72" s="153"/>
      <c r="L72" s="154"/>
      <c r="M72" s="155"/>
      <c r="N72" s="156"/>
      <c r="O72" s="151">
        <f t="shared" si="10"/>
        <v>80000</v>
      </c>
      <c r="P72" s="157"/>
      <c r="Q72" s="158"/>
      <c r="R72" s="107">
        <f t="shared" si="6"/>
        <v>0</v>
      </c>
      <c r="S72" s="108"/>
      <c r="T72" s="109"/>
      <c r="U72" s="109"/>
      <c r="V72" s="91"/>
      <c r="W72" s="23"/>
    </row>
    <row r="73" spans="1:23" x14ac:dyDescent="0.25">
      <c r="A73" s="83"/>
      <c r="B73" s="159"/>
      <c r="C73" s="160"/>
      <c r="D73" s="78"/>
      <c r="E73" s="78"/>
      <c r="F73" s="78"/>
      <c r="G73" s="78"/>
      <c r="H73" s="66"/>
      <c r="I73" s="66"/>
      <c r="J73" s="161"/>
      <c r="K73" s="405" t="s">
        <v>50</v>
      </c>
      <c r="L73" s="406"/>
      <c r="M73" s="407"/>
      <c r="N73" s="42">
        <f>N51</f>
        <v>0</v>
      </c>
      <c r="O73" s="66"/>
      <c r="P73" s="67"/>
      <c r="Q73" s="39"/>
      <c r="R73" s="39"/>
      <c r="S73" s="162"/>
      <c r="T73" s="90"/>
      <c r="U73" s="89"/>
      <c r="V73" s="91"/>
    </row>
    <row r="74" spans="1:23" x14ac:dyDescent="0.25">
      <c r="B74" s="163"/>
      <c r="C74" s="164"/>
      <c r="D74" s="19"/>
      <c r="E74" s="19"/>
      <c r="F74" s="19"/>
      <c r="G74" s="19"/>
      <c r="H74" s="39"/>
      <c r="I74" s="39"/>
      <c r="J74" s="17"/>
      <c r="K74" s="408" t="s">
        <v>51</v>
      </c>
      <c r="L74" s="409"/>
      <c r="M74" s="410"/>
      <c r="N74" s="165">
        <f>N44+N46+N47+N54+N55+N63+N64</f>
        <v>0</v>
      </c>
      <c r="O74" s="39"/>
      <c r="P74" s="29"/>
      <c r="Q74" s="39"/>
      <c r="R74" s="39"/>
      <c r="S74" s="89"/>
      <c r="T74" s="90"/>
      <c r="U74" s="89"/>
      <c r="V74" s="91"/>
    </row>
    <row r="75" spans="1:23" x14ac:dyDescent="0.25">
      <c r="B75" s="163"/>
      <c r="C75" s="411" t="s">
        <v>45</v>
      </c>
      <c r="D75" s="412"/>
      <c r="E75" s="166">
        <f>SUM(E12:E72)</f>
        <v>94000</v>
      </c>
      <c r="F75" s="19"/>
      <c r="G75" s="19">
        <f>SUM(E47:E65)</f>
        <v>0</v>
      </c>
      <c r="H75" s="39"/>
      <c r="I75" s="39"/>
      <c r="J75" s="17"/>
      <c r="K75" s="161"/>
      <c r="L75" s="161"/>
      <c r="M75" s="161"/>
      <c r="N75" s="17"/>
      <c r="O75" s="39"/>
      <c r="P75" s="29"/>
      <c r="Q75" s="39"/>
      <c r="R75" s="39"/>
      <c r="S75" s="89"/>
      <c r="T75" s="90"/>
      <c r="U75" s="89"/>
      <c r="V75" s="91"/>
    </row>
    <row r="76" spans="1:23" x14ac:dyDescent="0.25">
      <c r="B76" s="163"/>
      <c r="C76" s="164"/>
      <c r="D76" s="19"/>
      <c r="E76" s="19"/>
      <c r="F76" s="19"/>
      <c r="G76" s="19"/>
      <c r="H76" s="39"/>
      <c r="I76" s="39"/>
      <c r="J76" s="17"/>
      <c r="K76" s="17"/>
      <c r="L76" s="17"/>
      <c r="M76" s="17"/>
      <c r="N76" s="17"/>
      <c r="O76" s="39"/>
      <c r="P76" s="29"/>
      <c r="Q76" s="39"/>
      <c r="R76" s="39"/>
      <c r="S76" s="89"/>
      <c r="T76" s="90"/>
      <c r="U76" s="89"/>
      <c r="V76" s="91"/>
    </row>
    <row r="77" spans="1:23" x14ac:dyDescent="0.25">
      <c r="B77" s="163"/>
      <c r="C77" s="164"/>
      <c r="D77" s="167">
        <f>E75/C2</f>
        <v>1.175</v>
      </c>
      <c r="E77" s="168" t="s">
        <v>46</v>
      </c>
      <c r="F77" s="19"/>
      <c r="G77" s="19"/>
      <c r="H77" s="39"/>
      <c r="I77" s="39"/>
      <c r="J77" s="17"/>
      <c r="K77" s="17"/>
      <c r="L77" s="17"/>
      <c r="M77" s="17"/>
      <c r="N77" s="17"/>
      <c r="O77" s="39"/>
      <c r="P77" s="29"/>
      <c r="Q77" s="39"/>
      <c r="R77" s="39"/>
      <c r="S77" s="89"/>
      <c r="T77" s="90"/>
      <c r="U77" s="89"/>
      <c r="V77" s="91"/>
    </row>
    <row r="78" spans="1:23" x14ac:dyDescent="0.25">
      <c r="B78" s="163"/>
      <c r="C78" s="164"/>
      <c r="D78" s="19"/>
      <c r="E78" s="19"/>
      <c r="F78" s="19"/>
      <c r="G78" s="19"/>
      <c r="H78" s="39"/>
      <c r="I78" s="39"/>
      <c r="J78" s="17"/>
      <c r="K78" s="17"/>
      <c r="L78" s="17"/>
      <c r="M78" s="17"/>
      <c r="N78" s="17"/>
      <c r="O78" s="39">
        <f>N33+N51</f>
        <v>0</v>
      </c>
      <c r="P78" s="29"/>
      <c r="Q78" s="39"/>
      <c r="R78" s="17"/>
      <c r="S78" s="89"/>
      <c r="T78" s="90"/>
      <c r="U78" s="89"/>
      <c r="V78" s="91"/>
    </row>
  </sheetData>
  <mergeCells count="65">
    <mergeCell ref="B22:C22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6:C4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58:C5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K73:M73"/>
    <mergeCell ref="K74:M74"/>
    <mergeCell ref="C75:D75"/>
  </mergeCells>
  <conditionalFormatting sqref="I13:I72">
    <cfRule type="expression" dxfId="3" priority="1">
      <formula>$I13:$I72&lt;0.001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N78"/>
  <sheetViews>
    <sheetView zoomScale="70" zoomScaleNormal="70" workbookViewId="0">
      <pane ySplit="10" topLeftCell="A14" activePane="bottomLeft" state="frozen"/>
      <selection activeCell="K39" sqref="K39:K40"/>
      <selection pane="bottomLeft" activeCell="E20" sqref="E20"/>
    </sheetView>
  </sheetViews>
  <sheetFormatPr defaultColWidth="14.6953125" defaultRowHeight="22.5" x14ac:dyDescent="0.25"/>
  <cols>
    <col min="1" max="1" width="5.52734375" style="25" customWidth="1"/>
    <col min="2" max="2" width="16.5859375" style="25" customWidth="1"/>
    <col min="3" max="3" width="38.43359375" style="25" customWidth="1"/>
    <col min="4" max="4" width="14.5625" style="57" customWidth="1"/>
    <col min="5" max="5" width="17.6640625" style="57" customWidth="1"/>
    <col min="6" max="6" width="10.11328125" style="57" customWidth="1"/>
    <col min="7" max="7" width="14.5625" style="57" customWidth="1"/>
    <col min="8" max="8" width="14.5625" style="25" customWidth="1"/>
    <col min="9" max="9" width="14.29296875" style="25" customWidth="1"/>
    <col min="10" max="10" width="12.40625" style="25" customWidth="1"/>
    <col min="11" max="11" width="11.59375" style="25" customWidth="1"/>
    <col min="12" max="12" width="12.13671875" style="25" customWidth="1"/>
    <col min="13" max="13" width="11.4609375" style="25" customWidth="1"/>
    <col min="14" max="14" width="15.1015625" style="25" customWidth="1"/>
    <col min="15" max="15" width="14.6953125" style="25" customWidth="1"/>
    <col min="16" max="16" width="8.359375" style="169" customWidth="1"/>
    <col min="17" max="17" width="9.4375" style="25" bestFit="1" customWidth="1"/>
    <col min="18" max="18" width="16.98828125" style="25" customWidth="1"/>
    <col min="19" max="19" width="15.37109375" style="24" bestFit="1" customWidth="1"/>
    <col min="20" max="20" width="12.67578125" style="23" customWidth="1"/>
    <col min="21" max="21" width="15.37109375" style="24" bestFit="1" customWidth="1"/>
    <col min="22" max="22" width="12.5390625" style="23" customWidth="1"/>
    <col min="23" max="23" width="11.59375" style="24" customWidth="1"/>
    <col min="24" max="16384" width="14.6953125" style="25"/>
  </cols>
  <sheetData>
    <row r="1" spans="1:40" x14ac:dyDescent="0.25">
      <c r="A1" s="17" t="s">
        <v>28</v>
      </c>
      <c r="B1" s="17"/>
      <c r="C1" s="18" t="s">
        <v>91</v>
      </c>
      <c r="D1" s="19"/>
      <c r="E1" s="19" t="s">
        <v>0</v>
      </c>
      <c r="F1" s="19"/>
      <c r="G1" s="223" t="s">
        <v>92</v>
      </c>
      <c r="H1" s="19"/>
      <c r="I1" s="19"/>
      <c r="J1" s="17"/>
      <c r="K1" s="17"/>
      <c r="L1" s="17"/>
      <c r="M1" s="17"/>
      <c r="N1" s="17"/>
      <c r="O1" s="17"/>
      <c r="P1" s="20"/>
      <c r="Q1" s="17"/>
      <c r="R1" s="17"/>
      <c r="S1" s="21"/>
      <c r="T1" s="22"/>
      <c r="U1" s="21"/>
    </row>
    <row r="2" spans="1:40" ht="21.2" customHeight="1" x14ac:dyDescent="0.25">
      <c r="A2" s="17" t="s">
        <v>29</v>
      </c>
      <c r="B2" s="17"/>
      <c r="C2" s="19">
        <f>C4+C5+C6</f>
        <v>94283</v>
      </c>
      <c r="D2" s="19"/>
      <c r="E2" s="19"/>
      <c r="F2" s="19"/>
      <c r="G2" s="26" t="s">
        <v>30</v>
      </c>
      <c r="H2" s="27">
        <f>(C2*0.325)</f>
        <v>30641.975000000002</v>
      </c>
      <c r="I2" s="28" t="s">
        <v>31</v>
      </c>
      <c r="J2" s="17"/>
      <c r="K2" s="17"/>
      <c r="L2" s="17"/>
      <c r="M2" s="17"/>
      <c r="N2" s="17"/>
      <c r="O2" s="17"/>
      <c r="P2" s="29"/>
      <c r="Q2" s="17"/>
      <c r="R2" s="29"/>
      <c r="S2" s="21"/>
      <c r="T2" s="22"/>
      <c r="U2" s="21"/>
    </row>
    <row r="3" spans="1:40" ht="22.15" customHeight="1" x14ac:dyDescent="0.25">
      <c r="A3" s="17" t="s">
        <v>32</v>
      </c>
      <c r="B3" s="17"/>
      <c r="C3" s="30">
        <v>46104</v>
      </c>
      <c r="D3" s="19"/>
      <c r="E3" s="19"/>
      <c r="F3" s="19"/>
      <c r="G3" s="31" t="s">
        <v>4</v>
      </c>
      <c r="H3" s="32">
        <f>(C2*1.15)</f>
        <v>108425.45</v>
      </c>
      <c r="I3" s="32" t="s">
        <v>31</v>
      </c>
      <c r="J3" s="413"/>
      <c r="K3" s="414"/>
      <c r="L3" s="414"/>
      <c r="M3" s="415"/>
      <c r="N3" s="33" t="s">
        <v>96</v>
      </c>
      <c r="O3" s="17"/>
      <c r="P3" s="29"/>
      <c r="Q3" s="17"/>
      <c r="R3" s="29"/>
      <c r="S3" s="21"/>
      <c r="T3" s="22"/>
      <c r="U3" s="21"/>
    </row>
    <row r="4" spans="1:40" ht="19.899999999999999" customHeight="1" x14ac:dyDescent="0.25">
      <c r="A4" s="17"/>
      <c r="B4" s="33" t="s">
        <v>96</v>
      </c>
      <c r="C4" s="34">
        <v>47100</v>
      </c>
      <c r="D4" s="35"/>
      <c r="E4" s="19"/>
      <c r="F4" s="19"/>
      <c r="G4" s="36" t="s">
        <v>11</v>
      </c>
      <c r="H4" s="37">
        <f>(C2*1.7)</f>
        <v>160281.1</v>
      </c>
      <c r="I4" s="37" t="s">
        <v>31</v>
      </c>
      <c r="J4" s="416" t="s">
        <v>58</v>
      </c>
      <c r="K4" s="417"/>
      <c r="L4" s="417"/>
      <c r="M4" s="418"/>
      <c r="N4" s="33" t="s">
        <v>97</v>
      </c>
      <c r="O4" s="17"/>
      <c r="P4" s="29"/>
      <c r="Q4" s="17"/>
      <c r="R4" s="17"/>
      <c r="S4" s="21"/>
      <c r="T4" s="22"/>
      <c r="U4" s="21"/>
    </row>
    <row r="5" spans="1:40" ht="19.149999999999999" customHeight="1" x14ac:dyDescent="0.25">
      <c r="A5" s="17"/>
      <c r="B5" s="33" t="s">
        <v>97</v>
      </c>
      <c r="C5" s="34">
        <v>47183</v>
      </c>
      <c r="D5" s="35"/>
      <c r="E5" s="19"/>
      <c r="F5" s="19"/>
      <c r="G5" s="19" t="s">
        <v>33</v>
      </c>
      <c r="H5" s="17">
        <f>C2*1.5</f>
        <v>141424.5</v>
      </c>
      <c r="I5" s="38" t="s">
        <v>31</v>
      </c>
      <c r="J5" s="17"/>
      <c r="K5" s="17"/>
      <c r="L5" s="17"/>
      <c r="M5" s="17"/>
      <c r="N5" s="39"/>
      <c r="O5" s="39"/>
      <c r="P5" s="29"/>
      <c r="Q5" s="39"/>
      <c r="R5" s="29"/>
      <c r="S5" s="21"/>
      <c r="T5" s="22"/>
      <c r="U5" s="21"/>
    </row>
    <row r="6" spans="1:40" ht="52.5" customHeight="1" x14ac:dyDescent="0.25">
      <c r="A6" s="17"/>
      <c r="B6" s="17"/>
      <c r="C6" s="40"/>
      <c r="D6" s="35"/>
      <c r="E6" s="19"/>
      <c r="F6" s="19"/>
      <c r="G6" s="19"/>
      <c r="H6" s="17"/>
      <c r="I6" s="41"/>
      <c r="J6" s="17"/>
      <c r="K6" s="17"/>
      <c r="L6" s="17"/>
      <c r="M6" s="17"/>
      <c r="N6" s="39"/>
      <c r="O6" s="39"/>
      <c r="P6" s="29"/>
      <c r="Q6" s="42"/>
      <c r="R6" s="43" t="s">
        <v>54</v>
      </c>
      <c r="S6" s="44" t="s">
        <v>56</v>
      </c>
      <c r="T6" s="45"/>
      <c r="U6" s="44" t="s">
        <v>56</v>
      </c>
      <c r="V6" s="45"/>
    </row>
    <row r="7" spans="1:40" x14ac:dyDescent="0.25">
      <c r="A7" s="17"/>
      <c r="B7" s="17"/>
      <c r="C7" s="17"/>
      <c r="D7" s="19" t="s">
        <v>26</v>
      </c>
      <c r="E7" s="19"/>
      <c r="F7" s="19"/>
      <c r="G7" s="19"/>
      <c r="H7" s="17"/>
      <c r="I7" s="17"/>
      <c r="J7" s="17"/>
      <c r="K7" s="19"/>
      <c r="L7" s="19"/>
      <c r="M7" s="19"/>
      <c r="N7" s="39"/>
      <c r="O7" s="39"/>
      <c r="P7" s="29"/>
      <c r="Q7" s="46" t="s">
        <v>18</v>
      </c>
      <c r="R7" s="43" t="s">
        <v>18</v>
      </c>
      <c r="S7" s="44" t="s">
        <v>57</v>
      </c>
      <c r="T7" s="45"/>
      <c r="U7" s="47" t="s">
        <v>57</v>
      </c>
      <c r="V7" s="45"/>
    </row>
    <row r="8" spans="1:40" s="57" customFormat="1" ht="42.75" thickBot="1" x14ac:dyDescent="0.3">
      <c r="A8" s="48" t="s">
        <v>15</v>
      </c>
      <c r="B8" s="48" t="s">
        <v>16</v>
      </c>
      <c r="C8" s="48" t="s">
        <v>17</v>
      </c>
      <c r="D8" s="48" t="s">
        <v>18</v>
      </c>
      <c r="E8" s="48" t="s">
        <v>34</v>
      </c>
      <c r="F8" s="48"/>
      <c r="G8" s="48" t="s">
        <v>18</v>
      </c>
      <c r="H8" s="48" t="s">
        <v>18</v>
      </c>
      <c r="I8" s="48" t="s">
        <v>18</v>
      </c>
      <c r="J8" s="48" t="s">
        <v>19</v>
      </c>
      <c r="K8" s="49" t="s">
        <v>19</v>
      </c>
      <c r="L8" s="49" t="s">
        <v>19</v>
      </c>
      <c r="M8" s="49" t="s">
        <v>19</v>
      </c>
      <c r="N8" s="48" t="s">
        <v>21</v>
      </c>
      <c r="O8" s="48" t="s">
        <v>22</v>
      </c>
      <c r="P8" s="50" t="s">
        <v>0</v>
      </c>
      <c r="Q8" s="51" t="s">
        <v>52</v>
      </c>
      <c r="R8" s="52" t="s">
        <v>55</v>
      </c>
      <c r="S8" s="53" t="s">
        <v>62</v>
      </c>
      <c r="T8" s="54" t="s">
        <v>59</v>
      </c>
      <c r="U8" s="55" t="s">
        <v>63</v>
      </c>
      <c r="V8" s="54" t="s">
        <v>59</v>
      </c>
      <c r="W8" s="24"/>
      <c r="X8" s="56"/>
      <c r="AA8" s="56"/>
      <c r="AB8" s="58"/>
      <c r="AD8" s="56"/>
      <c r="AE8" s="58"/>
      <c r="AF8" s="59"/>
      <c r="AG8" s="56"/>
      <c r="AH8" s="59"/>
      <c r="AI8" s="56"/>
      <c r="AJ8" s="59"/>
      <c r="AK8" s="59"/>
      <c r="AL8" s="59"/>
    </row>
    <row r="9" spans="1:40" s="73" customFormat="1" ht="21.2" customHeight="1" thickBot="1" x14ac:dyDescent="0.3">
      <c r="A9" s="60"/>
      <c r="B9" s="61"/>
      <c r="C9" s="62">
        <v>43297</v>
      </c>
      <c r="D9" s="61" t="s">
        <v>35</v>
      </c>
      <c r="E9" s="61" t="s">
        <v>36</v>
      </c>
      <c r="F9" s="61" t="s">
        <v>19</v>
      </c>
      <c r="G9" s="61" t="s">
        <v>23</v>
      </c>
      <c r="H9" s="61" t="s">
        <v>24</v>
      </c>
      <c r="I9" s="61" t="s">
        <v>25</v>
      </c>
      <c r="J9" s="61" t="s">
        <v>26</v>
      </c>
      <c r="K9" s="228" t="s">
        <v>37</v>
      </c>
      <c r="L9" s="61" t="s">
        <v>38</v>
      </c>
      <c r="M9" s="61" t="s">
        <v>39</v>
      </c>
      <c r="N9" s="63" t="s">
        <v>49</v>
      </c>
      <c r="O9" s="64" t="s">
        <v>27</v>
      </c>
      <c r="P9" s="65" t="s">
        <v>53</v>
      </c>
      <c r="Q9" s="66"/>
      <c r="R9" s="67"/>
      <c r="S9" s="68"/>
      <c r="T9" s="69"/>
      <c r="U9" s="68"/>
      <c r="V9" s="70"/>
      <c r="W9" s="71" t="s">
        <v>15</v>
      </c>
      <c r="X9" s="72"/>
      <c r="AA9" s="72"/>
      <c r="AB9" s="74"/>
      <c r="AD9" s="72"/>
      <c r="AE9" s="74"/>
      <c r="AF9" s="75"/>
      <c r="AG9" s="72"/>
      <c r="AH9" s="75"/>
      <c r="AI9" s="72"/>
      <c r="AJ9" s="75"/>
      <c r="AK9" s="75"/>
      <c r="AL9" s="75"/>
    </row>
    <row r="10" spans="1:40" s="83" customFormat="1" ht="15" hidden="1" customHeight="1" x14ac:dyDescent="0.25">
      <c r="A10" s="76"/>
      <c r="B10" s="77"/>
      <c r="C10" s="77"/>
      <c r="D10" s="78"/>
      <c r="E10" s="78"/>
      <c r="F10" s="78"/>
      <c r="G10" s="78"/>
      <c r="H10" s="77"/>
      <c r="I10" s="77"/>
      <c r="J10" s="77"/>
      <c r="K10" s="79"/>
      <c r="L10" s="79"/>
      <c r="M10" s="79"/>
      <c r="N10" s="66"/>
      <c r="O10" s="66"/>
      <c r="P10" s="67"/>
      <c r="Q10" s="39"/>
      <c r="R10" s="29"/>
      <c r="S10" s="80"/>
      <c r="T10" s="22"/>
      <c r="U10" s="80"/>
      <c r="V10" s="81"/>
      <c r="W10" s="82"/>
    </row>
    <row r="11" spans="1:40" x14ac:dyDescent="0.25">
      <c r="B11" s="17"/>
      <c r="C11" s="84"/>
      <c r="D11" s="19"/>
      <c r="E11" s="85"/>
      <c r="F11" s="85"/>
      <c r="G11" s="85"/>
      <c r="H11" s="17"/>
      <c r="I11" s="225"/>
      <c r="J11" s="20"/>
      <c r="K11" s="86"/>
      <c r="L11" s="87"/>
      <c r="M11" s="88"/>
      <c r="N11" s="39"/>
      <c r="O11" s="39"/>
      <c r="P11" s="29"/>
      <c r="Q11" s="39"/>
      <c r="R11" s="29"/>
      <c r="S11" s="89"/>
      <c r="T11" s="90"/>
      <c r="U11" s="89"/>
      <c r="V11" s="91"/>
      <c r="W11" s="92"/>
      <c r="X11" s="93"/>
      <c r="Y11" s="94"/>
      <c r="Z11" s="94"/>
      <c r="AA11" s="93"/>
      <c r="AB11" s="94"/>
      <c r="AC11" s="94"/>
      <c r="AD11" s="93"/>
      <c r="AE11" s="94"/>
      <c r="AF11" s="95"/>
      <c r="AG11" s="93"/>
      <c r="AH11" s="95"/>
      <c r="AI11" s="93"/>
      <c r="AJ11" s="95"/>
      <c r="AK11" s="93"/>
      <c r="AL11" s="96"/>
      <c r="AM11" s="95"/>
      <c r="AN11" s="95"/>
    </row>
    <row r="12" spans="1:40" x14ac:dyDescent="0.25">
      <c r="B12" s="97"/>
      <c r="C12" s="98"/>
      <c r="D12" s="99"/>
      <c r="E12" s="100"/>
      <c r="F12" s="100"/>
      <c r="G12" s="101">
        <f>H2</f>
        <v>30641.975000000002</v>
      </c>
      <c r="H12" s="97">
        <v>0</v>
      </c>
      <c r="I12" s="225">
        <f t="shared" ref="I12:I72" si="0">IF((J12&gt;0),(J12-H12+E12),(I11-H12+E12))</f>
        <v>0</v>
      </c>
      <c r="J12" s="103">
        <f>(K12+M12+L12)</f>
        <v>0</v>
      </c>
      <c r="K12" s="104"/>
      <c r="L12" s="105"/>
      <c r="M12" s="106"/>
      <c r="N12" s="102"/>
      <c r="O12" s="102"/>
      <c r="P12" s="107"/>
      <c r="Q12" s="102"/>
      <c r="R12" s="107"/>
      <c r="S12" s="108"/>
      <c r="T12" s="109"/>
      <c r="U12" s="108"/>
      <c r="V12" s="91"/>
      <c r="W12" s="92"/>
      <c r="X12" s="93"/>
      <c r="Y12" s="94"/>
      <c r="Z12" s="94"/>
      <c r="AA12" s="93"/>
      <c r="AB12" s="94"/>
      <c r="AC12" s="94"/>
      <c r="AD12" s="93"/>
      <c r="AE12" s="94"/>
      <c r="AF12" s="95"/>
      <c r="AG12" s="93"/>
      <c r="AH12" s="95"/>
      <c r="AI12" s="93"/>
      <c r="AJ12" s="95"/>
      <c r="AK12" s="93"/>
      <c r="AL12" s="96"/>
      <c r="AM12" s="95"/>
      <c r="AN12" s="95"/>
    </row>
    <row r="13" spans="1:40" x14ac:dyDescent="0.25">
      <c r="A13" s="25">
        <v>1</v>
      </c>
      <c r="B13" s="401">
        <f>C3</f>
        <v>46104</v>
      </c>
      <c r="C13" s="402"/>
      <c r="D13" s="110">
        <f>E13</f>
        <v>29000</v>
      </c>
      <c r="E13" s="268">
        <v>29000</v>
      </c>
      <c r="F13" s="268" t="s">
        <v>95</v>
      </c>
      <c r="G13" s="111">
        <f t="shared" ref="G13:G21" si="1">G12-E13</f>
        <v>1641.9750000000022</v>
      </c>
      <c r="H13" s="102">
        <f>('Consumption Guide'!G8*O13)/1000</f>
        <v>2074.2260000000001</v>
      </c>
      <c r="I13" s="225">
        <f t="shared" si="0"/>
        <v>26925.774000000001</v>
      </c>
      <c r="J13" s="103">
        <f>(K13+M13+L13)</f>
        <v>0</v>
      </c>
      <c r="K13" s="104"/>
      <c r="L13" s="105"/>
      <c r="M13" s="106"/>
      <c r="N13" s="112"/>
      <c r="O13" s="102">
        <f>SUM(C2-N13)</f>
        <v>94283</v>
      </c>
      <c r="P13" s="107"/>
      <c r="Q13" s="102"/>
      <c r="R13" s="107"/>
      <c r="S13" s="108"/>
      <c r="T13" s="109"/>
      <c r="U13" s="108"/>
      <c r="V13" s="91"/>
      <c r="W13" s="92"/>
      <c r="X13" s="93"/>
      <c r="Y13" s="94"/>
      <c r="Z13" s="94"/>
      <c r="AA13" s="93"/>
      <c r="AB13" s="94"/>
      <c r="AC13" s="94"/>
      <c r="AD13" s="93"/>
      <c r="AE13" s="94"/>
      <c r="AF13" s="95"/>
      <c r="AG13" s="93"/>
      <c r="AH13" s="95"/>
      <c r="AI13" s="93"/>
      <c r="AJ13" s="95"/>
      <c r="AK13" s="93"/>
      <c r="AL13" s="96"/>
      <c r="AM13" s="95"/>
      <c r="AN13" s="95"/>
    </row>
    <row r="14" spans="1:40" x14ac:dyDescent="0.25">
      <c r="A14" s="25">
        <f>A13+1</f>
        <v>2</v>
      </c>
      <c r="B14" s="401">
        <f>B13+1</f>
        <v>46105</v>
      </c>
      <c r="C14" s="402"/>
      <c r="D14" s="110">
        <f t="shared" ref="D14:D72" si="2">D13+E14</f>
        <v>29000</v>
      </c>
      <c r="E14" s="114"/>
      <c r="F14" s="114"/>
      <c r="G14" s="111">
        <f t="shared" si="1"/>
        <v>1641.9750000000022</v>
      </c>
      <c r="H14" s="102">
        <f>('Consumption Guide'!G9*O14)/1000</f>
        <v>2262.7919999999999</v>
      </c>
      <c r="I14" s="225">
        <f t="shared" si="0"/>
        <v>24662.982</v>
      </c>
      <c r="J14" s="103">
        <f>(K14+M14+L14)</f>
        <v>0</v>
      </c>
      <c r="K14" s="104"/>
      <c r="L14" s="105"/>
      <c r="M14" s="106"/>
      <c r="N14" s="112"/>
      <c r="O14" s="102">
        <f t="shared" ref="O14:O45" si="3">SUM(O13-N14)</f>
        <v>94283</v>
      </c>
      <c r="P14" s="107"/>
      <c r="Q14" s="102"/>
      <c r="R14" s="107">
        <f>Q14+R13</f>
        <v>0</v>
      </c>
      <c r="S14" s="108"/>
      <c r="T14" s="109"/>
      <c r="U14" s="108"/>
      <c r="V14" s="91"/>
      <c r="W14" s="92"/>
      <c r="X14" s="93"/>
      <c r="Y14" s="94"/>
      <c r="Z14" s="94"/>
      <c r="AA14" s="93"/>
      <c r="AB14" s="94"/>
      <c r="AC14" s="94"/>
      <c r="AD14" s="93"/>
      <c r="AE14" s="94"/>
      <c r="AF14" s="95"/>
      <c r="AG14" s="93"/>
      <c r="AH14" s="95"/>
      <c r="AI14" s="93"/>
      <c r="AJ14" s="95"/>
      <c r="AK14" s="93"/>
      <c r="AL14" s="96"/>
      <c r="AM14" s="95"/>
      <c r="AN14" s="95"/>
    </row>
    <row r="15" spans="1:40" x14ac:dyDescent="0.25">
      <c r="A15" s="25">
        <f t="shared" ref="A15:B30" si="4">A14+1</f>
        <v>3</v>
      </c>
      <c r="B15" s="401">
        <f t="shared" si="4"/>
        <v>46106</v>
      </c>
      <c r="C15" s="402"/>
      <c r="D15" s="110">
        <f t="shared" si="2"/>
        <v>29000</v>
      </c>
      <c r="E15" s="114"/>
      <c r="F15" s="114"/>
      <c r="G15" s="111">
        <f t="shared" si="1"/>
        <v>1641.9750000000022</v>
      </c>
      <c r="H15" s="102">
        <f>('Consumption Guide'!G10*O15)/1000</f>
        <v>2451.3580000000002</v>
      </c>
      <c r="I15" s="225">
        <f t="shared" si="0"/>
        <v>57548.642</v>
      </c>
      <c r="J15" s="103">
        <f t="shared" ref="J15:J72" si="5">(K15+M15+L15)</f>
        <v>60000</v>
      </c>
      <c r="K15" s="104">
        <v>26000</v>
      </c>
      <c r="L15" s="105">
        <v>14000</v>
      </c>
      <c r="M15" s="106">
        <v>20000</v>
      </c>
      <c r="N15" s="112"/>
      <c r="O15" s="113">
        <f t="shared" si="3"/>
        <v>94283</v>
      </c>
      <c r="P15" s="107"/>
      <c r="Q15" s="102"/>
      <c r="R15" s="107">
        <f t="shared" ref="R15:R72" si="6">Q15+R14</f>
        <v>0</v>
      </c>
      <c r="S15" s="108"/>
      <c r="T15" s="109"/>
      <c r="U15" s="108"/>
      <c r="V15" s="91"/>
      <c r="W15" s="92"/>
      <c r="X15" s="93"/>
      <c r="Y15" s="94"/>
      <c r="Z15" s="94"/>
      <c r="AA15" s="93"/>
      <c r="AB15" s="94"/>
      <c r="AC15" s="94"/>
      <c r="AD15" s="93"/>
      <c r="AE15" s="94"/>
      <c r="AF15" s="95"/>
      <c r="AG15" s="93"/>
      <c r="AH15" s="95"/>
      <c r="AI15" s="93"/>
      <c r="AJ15" s="95"/>
      <c r="AK15" s="93"/>
      <c r="AL15" s="96"/>
      <c r="AM15" s="95"/>
      <c r="AN15" s="95"/>
    </row>
    <row r="16" spans="1:40" x14ac:dyDescent="0.25">
      <c r="A16" s="25">
        <f t="shared" si="4"/>
        <v>4</v>
      </c>
      <c r="B16" s="401">
        <f t="shared" si="4"/>
        <v>46107</v>
      </c>
      <c r="C16" s="402"/>
      <c r="D16" s="110">
        <f t="shared" si="2"/>
        <v>45000</v>
      </c>
      <c r="E16" s="114">
        <v>16000</v>
      </c>
      <c r="F16" s="114"/>
      <c r="G16" s="111">
        <f t="shared" si="1"/>
        <v>-14358.024999999998</v>
      </c>
      <c r="H16" s="102">
        <f>('Consumption Guide'!G11*O16)/1000</f>
        <v>2639.924</v>
      </c>
      <c r="I16" s="225">
        <f t="shared" si="0"/>
        <v>53360.076000000001</v>
      </c>
      <c r="J16" s="103">
        <f t="shared" si="5"/>
        <v>40000</v>
      </c>
      <c r="K16" s="104">
        <v>12000</v>
      </c>
      <c r="L16" s="105">
        <v>8000</v>
      </c>
      <c r="M16" s="119">
        <v>20000</v>
      </c>
      <c r="N16" s="112"/>
      <c r="O16" s="113">
        <f t="shared" si="3"/>
        <v>94283</v>
      </c>
      <c r="P16" s="107"/>
      <c r="Q16" s="102"/>
      <c r="R16" s="107">
        <f t="shared" si="6"/>
        <v>0</v>
      </c>
      <c r="S16" s="108"/>
      <c r="T16" s="109"/>
      <c r="U16" s="108"/>
      <c r="V16" s="91"/>
      <c r="W16" s="92"/>
    </row>
    <row r="17" spans="1:40" x14ac:dyDescent="0.25">
      <c r="A17" s="25">
        <f t="shared" si="4"/>
        <v>5</v>
      </c>
      <c r="B17" s="401">
        <f t="shared" si="4"/>
        <v>46108</v>
      </c>
      <c r="C17" s="402"/>
      <c r="D17" s="110">
        <f t="shared" si="2"/>
        <v>45000</v>
      </c>
      <c r="E17" s="114"/>
      <c r="F17" s="114"/>
      <c r="G17" s="111">
        <f t="shared" si="1"/>
        <v>-14358.024999999998</v>
      </c>
      <c r="H17" s="102">
        <f>('Consumption Guide'!G12*O17)/1000</f>
        <v>2828.49</v>
      </c>
      <c r="I17" s="225">
        <f t="shared" si="0"/>
        <v>45171.51</v>
      </c>
      <c r="J17" s="103">
        <f t="shared" si="5"/>
        <v>48000</v>
      </c>
      <c r="K17" s="104">
        <v>12000</v>
      </c>
      <c r="L17" s="116">
        <v>16000</v>
      </c>
      <c r="M17" s="119">
        <v>20000</v>
      </c>
      <c r="N17" s="112"/>
      <c r="O17" s="113">
        <f t="shared" si="3"/>
        <v>94283</v>
      </c>
      <c r="P17" s="107"/>
      <c r="Q17" s="102"/>
      <c r="R17" s="107">
        <f>Q17+R16</f>
        <v>0</v>
      </c>
      <c r="S17" s="108"/>
      <c r="T17" s="109"/>
      <c r="U17" s="108"/>
      <c r="V17" s="91"/>
      <c r="W17" s="92"/>
    </row>
    <row r="18" spans="1:40" x14ac:dyDescent="0.25">
      <c r="A18" s="25">
        <f t="shared" si="4"/>
        <v>6</v>
      </c>
      <c r="B18" s="401">
        <f t="shared" si="4"/>
        <v>46109</v>
      </c>
      <c r="C18" s="402"/>
      <c r="D18" s="110">
        <f t="shared" si="2"/>
        <v>45000</v>
      </c>
      <c r="E18" s="114"/>
      <c r="F18" s="114"/>
      <c r="G18" s="111">
        <f t="shared" si="1"/>
        <v>-14358.024999999998</v>
      </c>
      <c r="H18" s="102">
        <f>('Consumption Guide'!G13*O18)/1000</f>
        <v>3017.056</v>
      </c>
      <c r="I18" s="225">
        <f t="shared" si="0"/>
        <v>42154.454000000005</v>
      </c>
      <c r="J18" s="103">
        <f t="shared" si="5"/>
        <v>0</v>
      </c>
      <c r="K18" s="104"/>
      <c r="L18" s="116"/>
      <c r="M18" s="119"/>
      <c r="N18" s="112"/>
      <c r="O18" s="113">
        <f t="shared" si="3"/>
        <v>94283</v>
      </c>
      <c r="P18" s="107"/>
      <c r="Q18" s="102"/>
      <c r="R18" s="107">
        <f t="shared" si="6"/>
        <v>0</v>
      </c>
      <c r="S18" s="108"/>
      <c r="T18" s="109"/>
      <c r="U18" s="108"/>
      <c r="V18" s="91"/>
      <c r="W18" s="92"/>
    </row>
    <row r="19" spans="1:40" x14ac:dyDescent="0.25">
      <c r="A19" s="25">
        <f t="shared" si="4"/>
        <v>7</v>
      </c>
      <c r="B19" s="401">
        <f t="shared" si="4"/>
        <v>46110</v>
      </c>
      <c r="C19" s="402"/>
      <c r="D19" s="110">
        <f t="shared" si="2"/>
        <v>61000</v>
      </c>
      <c r="E19" s="114">
        <v>16000</v>
      </c>
      <c r="F19" s="114"/>
      <c r="G19" s="111">
        <f t="shared" si="1"/>
        <v>-30358.024999999998</v>
      </c>
      <c r="H19" s="102">
        <f>('Consumption Guide'!G14*O19)/1000</f>
        <v>3205.6219999999998</v>
      </c>
      <c r="I19" s="225">
        <f t="shared" si="0"/>
        <v>54948.832000000002</v>
      </c>
      <c r="J19" s="103">
        <f t="shared" si="5"/>
        <v>0</v>
      </c>
      <c r="K19" s="104"/>
      <c r="L19" s="116"/>
      <c r="M19" s="119"/>
      <c r="N19" s="112"/>
      <c r="O19" s="113">
        <f t="shared" si="3"/>
        <v>94283</v>
      </c>
      <c r="P19" s="107"/>
      <c r="Q19" s="102"/>
      <c r="R19" s="107">
        <f t="shared" si="6"/>
        <v>0</v>
      </c>
      <c r="S19" s="108"/>
      <c r="T19" s="109"/>
      <c r="U19" s="108"/>
      <c r="V19" s="91"/>
      <c r="W19" s="92"/>
    </row>
    <row r="20" spans="1:40" x14ac:dyDescent="0.25">
      <c r="A20" s="25">
        <v>8</v>
      </c>
      <c r="B20" s="401">
        <f t="shared" si="4"/>
        <v>46111</v>
      </c>
      <c r="C20" s="402"/>
      <c r="D20" s="110">
        <f t="shared" si="2"/>
        <v>61000</v>
      </c>
      <c r="E20" s="114"/>
      <c r="F20" s="114"/>
      <c r="G20" s="111">
        <f t="shared" si="1"/>
        <v>-30358.024999999998</v>
      </c>
      <c r="H20" s="102">
        <f>('Consumption Guide'!G15*O20)/1000</f>
        <v>3394.1880000000001</v>
      </c>
      <c r="I20" s="225">
        <f t="shared" si="0"/>
        <v>44605.811999999998</v>
      </c>
      <c r="J20" s="103">
        <f t="shared" si="5"/>
        <v>48000</v>
      </c>
      <c r="K20" s="104">
        <v>8000</v>
      </c>
      <c r="L20" s="116">
        <v>20000</v>
      </c>
      <c r="M20" s="119">
        <v>20000</v>
      </c>
      <c r="N20" s="112"/>
      <c r="O20" s="113">
        <f t="shared" si="3"/>
        <v>94283</v>
      </c>
      <c r="P20" s="107"/>
      <c r="Q20" s="102"/>
      <c r="R20" s="107">
        <f t="shared" si="6"/>
        <v>0</v>
      </c>
      <c r="S20" s="108"/>
      <c r="T20" s="109"/>
      <c r="U20" s="108"/>
      <c r="V20" s="91"/>
      <c r="W20" s="92"/>
    </row>
    <row r="21" spans="1:40" x14ac:dyDescent="0.25">
      <c r="A21" s="25">
        <f t="shared" si="4"/>
        <v>9</v>
      </c>
      <c r="B21" s="401">
        <f t="shared" si="4"/>
        <v>46112</v>
      </c>
      <c r="C21" s="402"/>
      <c r="D21" s="110">
        <f t="shared" si="2"/>
        <v>61000</v>
      </c>
      <c r="E21" s="114"/>
      <c r="F21" s="114"/>
      <c r="G21" s="111">
        <f t="shared" si="1"/>
        <v>-30358.024999999998</v>
      </c>
      <c r="H21" s="102">
        <f>('Consumption Guide'!G16*O21)/1000</f>
        <v>3771.32</v>
      </c>
      <c r="I21" s="225">
        <f t="shared" si="0"/>
        <v>40834.491999999998</v>
      </c>
      <c r="J21" s="103">
        <f t="shared" si="5"/>
        <v>0</v>
      </c>
      <c r="K21" s="104"/>
      <c r="L21" s="116"/>
      <c r="M21" s="119"/>
      <c r="N21" s="112"/>
      <c r="O21" s="113">
        <f t="shared" si="3"/>
        <v>94283</v>
      </c>
      <c r="P21" s="107"/>
      <c r="Q21" s="102"/>
      <c r="R21" s="107">
        <f t="shared" si="6"/>
        <v>0</v>
      </c>
      <c r="S21" s="108"/>
      <c r="T21" s="109"/>
      <c r="U21" s="108"/>
      <c r="V21" s="91"/>
      <c r="W21" s="92"/>
    </row>
    <row r="22" spans="1:40" x14ac:dyDescent="0.25">
      <c r="A22" s="25">
        <f t="shared" si="4"/>
        <v>10</v>
      </c>
      <c r="B22" s="401">
        <f t="shared" si="4"/>
        <v>46113</v>
      </c>
      <c r="C22" s="402"/>
      <c r="D22" s="110">
        <f t="shared" si="2"/>
        <v>61000</v>
      </c>
      <c r="E22" s="114"/>
      <c r="F22" s="114"/>
      <c r="G22" s="115">
        <v>96480</v>
      </c>
      <c r="H22" s="102">
        <f>('Consumption Guide'!G17*O22)/1000</f>
        <v>4242.7349999999997</v>
      </c>
      <c r="I22" s="225">
        <f t="shared" si="0"/>
        <v>36591.756999999998</v>
      </c>
      <c r="J22" s="103">
        <f t="shared" si="5"/>
        <v>0</v>
      </c>
      <c r="K22" s="104"/>
      <c r="L22" s="97"/>
      <c r="M22" s="117"/>
      <c r="N22" s="112"/>
      <c r="O22" s="113">
        <f t="shared" si="3"/>
        <v>94283</v>
      </c>
      <c r="P22" s="107"/>
      <c r="Q22" s="102"/>
      <c r="R22" s="107">
        <f t="shared" si="6"/>
        <v>0</v>
      </c>
      <c r="S22" s="108"/>
      <c r="T22" s="109"/>
      <c r="U22" s="108"/>
      <c r="V22" s="91"/>
      <c r="W22" s="92"/>
      <c r="X22" s="93"/>
      <c r="Y22" s="94"/>
      <c r="Z22" s="94"/>
      <c r="AA22" s="93"/>
      <c r="AB22" s="94"/>
      <c r="AC22" s="94"/>
      <c r="AD22" s="93"/>
      <c r="AE22" s="94"/>
      <c r="AF22" s="95"/>
      <c r="AG22" s="93"/>
      <c r="AH22" s="95"/>
      <c r="AI22" s="93"/>
      <c r="AJ22" s="95"/>
      <c r="AK22" s="93"/>
      <c r="AL22" s="96"/>
      <c r="AM22" s="95"/>
      <c r="AN22" s="95"/>
    </row>
    <row r="23" spans="1:40" x14ac:dyDescent="0.25">
      <c r="A23" s="25">
        <f t="shared" si="4"/>
        <v>11</v>
      </c>
      <c r="B23" s="401">
        <f t="shared" si="4"/>
        <v>46114</v>
      </c>
      <c r="C23" s="402"/>
      <c r="D23" s="110">
        <f t="shared" si="2"/>
        <v>77000</v>
      </c>
      <c r="E23" s="114">
        <v>16000</v>
      </c>
      <c r="F23" s="114"/>
      <c r="G23" s="115">
        <f>H3-E23</f>
        <v>92425.45</v>
      </c>
      <c r="H23" s="102">
        <f>('Consumption Guide'!G18*O23)/1000</f>
        <v>4714.1499999999996</v>
      </c>
      <c r="I23" s="225">
        <f t="shared" si="0"/>
        <v>47877.606999999996</v>
      </c>
      <c r="J23" s="103">
        <f t="shared" si="5"/>
        <v>0</v>
      </c>
      <c r="K23" s="104"/>
      <c r="L23" s="116"/>
      <c r="M23" s="118"/>
      <c r="N23" s="112"/>
      <c r="O23" s="113">
        <f t="shared" si="3"/>
        <v>94283</v>
      </c>
      <c r="P23" s="107"/>
      <c r="Q23" s="102"/>
      <c r="R23" s="107">
        <f t="shared" si="6"/>
        <v>0</v>
      </c>
      <c r="S23" s="108"/>
      <c r="T23" s="109"/>
      <c r="U23" s="108"/>
      <c r="V23" s="91"/>
      <c r="W23" s="92"/>
    </row>
    <row r="24" spans="1:40" x14ac:dyDescent="0.25">
      <c r="A24" s="25">
        <f t="shared" si="4"/>
        <v>12</v>
      </c>
      <c r="B24" s="401">
        <f t="shared" si="4"/>
        <v>46115</v>
      </c>
      <c r="C24" s="402"/>
      <c r="D24" s="110">
        <f t="shared" si="2"/>
        <v>77000</v>
      </c>
      <c r="E24" s="114"/>
      <c r="F24" s="114"/>
      <c r="G24" s="115">
        <f t="shared" ref="G24:G36" si="7">G23-E24</f>
        <v>92425.45</v>
      </c>
      <c r="H24" s="102">
        <f>('Consumption Guide'!G19*O24)/1000</f>
        <v>5185.5649999999996</v>
      </c>
      <c r="I24" s="225">
        <f t="shared" si="0"/>
        <v>42692.041999999994</v>
      </c>
      <c r="J24" s="103">
        <f t="shared" si="5"/>
        <v>0</v>
      </c>
      <c r="K24" s="104"/>
      <c r="L24" s="97"/>
      <c r="M24" s="117"/>
      <c r="N24" s="112"/>
      <c r="O24" s="113">
        <f t="shared" si="3"/>
        <v>94283</v>
      </c>
      <c r="P24" s="107"/>
      <c r="Q24" s="102"/>
      <c r="R24" s="107">
        <f t="shared" si="6"/>
        <v>0</v>
      </c>
      <c r="S24" s="108"/>
      <c r="T24" s="109"/>
      <c r="U24" s="108"/>
      <c r="V24" s="91"/>
      <c r="W24" s="92"/>
    </row>
    <row r="25" spans="1:40" x14ac:dyDescent="0.25">
      <c r="A25" s="25">
        <f t="shared" si="4"/>
        <v>13</v>
      </c>
      <c r="B25" s="401">
        <f t="shared" si="4"/>
        <v>46116</v>
      </c>
      <c r="C25" s="402"/>
      <c r="D25" s="110">
        <f t="shared" si="2"/>
        <v>77000</v>
      </c>
      <c r="E25" s="114"/>
      <c r="F25" s="114"/>
      <c r="G25" s="115">
        <f t="shared" si="7"/>
        <v>92425.45</v>
      </c>
      <c r="H25" s="102">
        <f>('Consumption Guide'!G20*O25)/1000</f>
        <v>5656.98</v>
      </c>
      <c r="I25" s="225">
        <f t="shared" si="0"/>
        <v>37035.061999999991</v>
      </c>
      <c r="J25" s="103">
        <f t="shared" si="5"/>
        <v>0</v>
      </c>
      <c r="K25" s="104"/>
      <c r="L25" s="97"/>
      <c r="M25" s="117"/>
      <c r="N25" s="112"/>
      <c r="O25" s="113">
        <f t="shared" si="3"/>
        <v>94283</v>
      </c>
      <c r="P25" s="107"/>
      <c r="Q25" s="102"/>
      <c r="R25" s="107">
        <f t="shared" si="6"/>
        <v>0</v>
      </c>
      <c r="S25" s="108"/>
      <c r="T25" s="109"/>
      <c r="U25" s="108"/>
      <c r="V25" s="91"/>
      <c r="W25" s="92"/>
    </row>
    <row r="26" spans="1:40" x14ac:dyDescent="0.25">
      <c r="A26" s="25">
        <f t="shared" si="4"/>
        <v>14</v>
      </c>
      <c r="B26" s="401">
        <f t="shared" si="4"/>
        <v>46117</v>
      </c>
      <c r="C26" s="402"/>
      <c r="D26" s="110">
        <f t="shared" si="2"/>
        <v>99000</v>
      </c>
      <c r="E26" s="114">
        <v>22000</v>
      </c>
      <c r="F26" s="114"/>
      <c r="G26" s="115">
        <f t="shared" si="7"/>
        <v>70425.45</v>
      </c>
      <c r="H26" s="102">
        <f>('Consumption Guide'!G21*O26)/1000</f>
        <v>6128.3950000000004</v>
      </c>
      <c r="I26" s="225">
        <f t="shared" si="0"/>
        <v>52906.666999999987</v>
      </c>
      <c r="J26" s="103">
        <f t="shared" si="5"/>
        <v>0</v>
      </c>
      <c r="K26" s="104"/>
      <c r="L26" s="97"/>
      <c r="M26" s="121"/>
      <c r="N26" s="102"/>
      <c r="O26" s="113">
        <f t="shared" si="3"/>
        <v>94283</v>
      </c>
      <c r="P26" s="107"/>
      <c r="Q26" s="102"/>
      <c r="R26" s="107">
        <f t="shared" si="6"/>
        <v>0</v>
      </c>
      <c r="S26" s="108"/>
      <c r="T26" s="109"/>
      <c r="U26" s="108"/>
      <c r="V26" s="91"/>
      <c r="W26" s="92"/>
    </row>
    <row r="27" spans="1:40" x14ac:dyDescent="0.25">
      <c r="A27" s="25">
        <f t="shared" si="4"/>
        <v>15</v>
      </c>
      <c r="B27" s="401">
        <f t="shared" si="4"/>
        <v>46118</v>
      </c>
      <c r="C27" s="402"/>
      <c r="D27" s="110">
        <f t="shared" si="2"/>
        <v>99000</v>
      </c>
      <c r="E27" s="114"/>
      <c r="F27" s="114"/>
      <c r="G27" s="115">
        <f t="shared" si="7"/>
        <v>70425.45</v>
      </c>
      <c r="H27" s="102">
        <f>('Consumption Guide'!G22*O27)/1000</f>
        <v>6976.942</v>
      </c>
      <c r="I27" s="225">
        <f t="shared" si="0"/>
        <v>45929.724999999984</v>
      </c>
      <c r="J27" s="103">
        <f t="shared" si="5"/>
        <v>0</v>
      </c>
      <c r="K27" s="172"/>
      <c r="L27" s="97"/>
      <c r="M27" s="119"/>
      <c r="N27" s="112"/>
      <c r="O27" s="113">
        <f t="shared" si="3"/>
        <v>94283</v>
      </c>
      <c r="P27" s="107"/>
      <c r="Q27" s="102"/>
      <c r="R27" s="107">
        <f t="shared" si="6"/>
        <v>0</v>
      </c>
      <c r="S27" s="108"/>
      <c r="T27" s="109"/>
      <c r="U27" s="108"/>
      <c r="V27" s="91"/>
      <c r="W27" s="92"/>
    </row>
    <row r="28" spans="1:40" x14ac:dyDescent="0.25">
      <c r="A28" s="25">
        <f t="shared" si="4"/>
        <v>16</v>
      </c>
      <c r="B28" s="401">
        <f t="shared" si="4"/>
        <v>46119</v>
      </c>
      <c r="C28" s="402"/>
      <c r="D28" s="110">
        <f t="shared" si="2"/>
        <v>99000</v>
      </c>
      <c r="E28" s="114"/>
      <c r="F28" s="114"/>
      <c r="G28" s="115">
        <f t="shared" si="7"/>
        <v>70425.45</v>
      </c>
      <c r="H28" s="102">
        <f>('Consumption Guide'!G23*O28)/1000</f>
        <v>7071.2250000000004</v>
      </c>
      <c r="I28" s="225">
        <f t="shared" si="0"/>
        <v>38858.499999999985</v>
      </c>
      <c r="J28" s="103">
        <f t="shared" si="5"/>
        <v>0</v>
      </c>
      <c r="K28" s="120"/>
      <c r="L28" s="97"/>
      <c r="M28" s="119"/>
      <c r="N28" s="112"/>
      <c r="O28" s="113">
        <f t="shared" si="3"/>
        <v>94283</v>
      </c>
      <c r="P28" s="107"/>
      <c r="Q28" s="102"/>
      <c r="R28" s="107">
        <f t="shared" si="6"/>
        <v>0</v>
      </c>
      <c r="S28" s="108"/>
      <c r="T28" s="109"/>
      <c r="U28" s="108"/>
      <c r="V28" s="91"/>
      <c r="W28" s="92"/>
    </row>
    <row r="29" spans="1:40" x14ac:dyDescent="0.25">
      <c r="A29" s="25">
        <f t="shared" si="4"/>
        <v>17</v>
      </c>
      <c r="B29" s="401">
        <f t="shared" si="4"/>
        <v>46120</v>
      </c>
      <c r="C29" s="402"/>
      <c r="D29" s="110">
        <f t="shared" si="2"/>
        <v>99000</v>
      </c>
      <c r="E29" s="114"/>
      <c r="F29" s="114"/>
      <c r="G29" s="115">
        <f t="shared" si="7"/>
        <v>70425.45</v>
      </c>
      <c r="H29" s="102">
        <f>('Consumption Guide'!G24*O29)/1000</f>
        <v>7542.64</v>
      </c>
      <c r="I29" s="225">
        <f t="shared" si="0"/>
        <v>31315.859999999986</v>
      </c>
      <c r="J29" s="103">
        <f t="shared" si="5"/>
        <v>0</v>
      </c>
      <c r="K29" s="122"/>
      <c r="L29" s="97"/>
      <c r="M29" s="121"/>
      <c r="N29" s="112"/>
      <c r="O29" s="113">
        <f t="shared" si="3"/>
        <v>94283</v>
      </c>
      <c r="P29" s="107"/>
      <c r="Q29" s="102"/>
      <c r="R29" s="107">
        <f t="shared" si="6"/>
        <v>0</v>
      </c>
      <c r="S29" s="108"/>
      <c r="T29" s="109"/>
      <c r="U29" s="108"/>
      <c r="V29" s="91"/>
      <c r="W29" s="92"/>
    </row>
    <row r="30" spans="1:40" x14ac:dyDescent="0.25">
      <c r="A30" s="25">
        <f t="shared" si="4"/>
        <v>18</v>
      </c>
      <c r="B30" s="401">
        <f t="shared" si="4"/>
        <v>46121</v>
      </c>
      <c r="C30" s="402"/>
      <c r="D30" s="110">
        <f t="shared" si="2"/>
        <v>99000</v>
      </c>
      <c r="E30" s="114"/>
      <c r="F30" s="114"/>
      <c r="G30" s="115">
        <f t="shared" si="7"/>
        <v>70425.45</v>
      </c>
      <c r="H30" s="102">
        <f>('Consumption Guide'!G25*O30)/1000</f>
        <v>8202.6209999999992</v>
      </c>
      <c r="I30" s="225">
        <f t="shared" si="0"/>
        <v>23113.238999999987</v>
      </c>
      <c r="J30" s="103">
        <f>(K30+M30+L30)</f>
        <v>0</v>
      </c>
      <c r="K30" s="122"/>
      <c r="L30" s="116"/>
      <c r="M30" s="121"/>
      <c r="N30" s="112"/>
      <c r="O30" s="113">
        <f t="shared" si="3"/>
        <v>94283</v>
      </c>
      <c r="P30" s="107"/>
      <c r="Q30" s="102"/>
      <c r="R30" s="107">
        <f t="shared" si="6"/>
        <v>0</v>
      </c>
      <c r="S30" s="108"/>
      <c r="T30" s="109"/>
      <c r="U30" s="108"/>
      <c r="V30" s="91"/>
      <c r="W30" s="92"/>
    </row>
    <row r="31" spans="1:40" x14ac:dyDescent="0.25">
      <c r="A31" s="25">
        <f t="shared" ref="A31:B46" si="8">A30+1</f>
        <v>19</v>
      </c>
      <c r="B31" s="401">
        <f t="shared" si="8"/>
        <v>46122</v>
      </c>
      <c r="C31" s="402"/>
      <c r="D31" s="110">
        <f t="shared" si="2"/>
        <v>99000</v>
      </c>
      <c r="E31" s="114"/>
      <c r="F31" s="114"/>
      <c r="G31" s="115">
        <f t="shared" si="7"/>
        <v>70425.45</v>
      </c>
      <c r="H31" s="102">
        <f>('Consumption Guide'!G26*O31)/1000</f>
        <v>8768.3189999999995</v>
      </c>
      <c r="I31" s="225">
        <f t="shared" si="0"/>
        <v>14344.919999999987</v>
      </c>
      <c r="J31" s="103">
        <f>(K31+M31+L31)</f>
        <v>0</v>
      </c>
      <c r="K31" s="122"/>
      <c r="L31" s="116"/>
      <c r="M31" s="121"/>
      <c r="N31" s="112"/>
      <c r="O31" s="113">
        <f t="shared" si="3"/>
        <v>94283</v>
      </c>
      <c r="P31" s="107"/>
      <c r="Q31" s="102"/>
      <c r="R31" s="107">
        <f t="shared" si="6"/>
        <v>0</v>
      </c>
      <c r="S31" s="108"/>
      <c r="T31" s="109"/>
      <c r="U31" s="108"/>
      <c r="V31" s="91"/>
      <c r="W31" s="92"/>
    </row>
    <row r="32" spans="1:40" x14ac:dyDescent="0.25">
      <c r="A32" s="25">
        <f t="shared" si="8"/>
        <v>20</v>
      </c>
      <c r="B32" s="401">
        <f t="shared" si="8"/>
        <v>46123</v>
      </c>
      <c r="C32" s="402"/>
      <c r="D32" s="110">
        <f t="shared" si="2"/>
        <v>99000</v>
      </c>
      <c r="E32" s="114"/>
      <c r="F32" s="276"/>
      <c r="G32" s="115">
        <f t="shared" si="7"/>
        <v>70425.45</v>
      </c>
      <c r="H32" s="102">
        <f>('Consumption Guide'!G27*O32)/1000</f>
        <v>9145.4509999999991</v>
      </c>
      <c r="I32" s="225">
        <f t="shared" si="0"/>
        <v>5199.4689999999882</v>
      </c>
      <c r="J32" s="103">
        <f>(K32+M32+L32)</f>
        <v>0</v>
      </c>
      <c r="K32" s="122"/>
      <c r="L32" s="116"/>
      <c r="M32" s="119"/>
      <c r="N32" s="112"/>
      <c r="O32" s="113">
        <f t="shared" si="3"/>
        <v>94283</v>
      </c>
      <c r="P32" s="107"/>
      <c r="Q32" s="102"/>
      <c r="R32" s="107">
        <f t="shared" si="6"/>
        <v>0</v>
      </c>
      <c r="S32" s="108"/>
      <c r="T32" s="109"/>
      <c r="U32" s="108"/>
      <c r="V32" s="91"/>
      <c r="W32" s="92"/>
    </row>
    <row r="33" spans="1:23" x14ac:dyDescent="0.25">
      <c r="A33" s="25">
        <f t="shared" si="8"/>
        <v>21</v>
      </c>
      <c r="B33" s="401">
        <f t="shared" si="8"/>
        <v>46124</v>
      </c>
      <c r="C33" s="402"/>
      <c r="D33" s="110">
        <f t="shared" si="2"/>
        <v>99000</v>
      </c>
      <c r="E33" s="114"/>
      <c r="F33" s="276"/>
      <c r="G33" s="115">
        <f t="shared" si="7"/>
        <v>70425.45</v>
      </c>
      <c r="H33" s="102">
        <f>('Consumption Guide'!G28*O33)/1000</f>
        <v>9711.1489999999994</v>
      </c>
      <c r="I33" s="225">
        <f t="shared" si="0"/>
        <v>-4511.6800000000112</v>
      </c>
      <c r="J33" s="103">
        <f>(K33+M33+L33)</f>
        <v>0</v>
      </c>
      <c r="K33" s="122"/>
      <c r="L33" s="97"/>
      <c r="M33" s="121"/>
      <c r="N33" s="112"/>
      <c r="O33" s="113">
        <f t="shared" si="3"/>
        <v>94283</v>
      </c>
      <c r="P33" s="107"/>
      <c r="Q33" s="102"/>
      <c r="R33" s="107">
        <f t="shared" si="6"/>
        <v>0</v>
      </c>
      <c r="S33" s="108"/>
      <c r="T33" s="109"/>
      <c r="U33" s="108"/>
      <c r="V33" s="91"/>
      <c r="W33" s="92"/>
    </row>
    <row r="34" spans="1:23" x14ac:dyDescent="0.25">
      <c r="A34" s="25">
        <f t="shared" si="8"/>
        <v>22</v>
      </c>
      <c r="B34" s="401">
        <f t="shared" si="8"/>
        <v>46125</v>
      </c>
      <c r="C34" s="402"/>
      <c r="D34" s="110">
        <f t="shared" si="2"/>
        <v>99000</v>
      </c>
      <c r="E34" s="114"/>
      <c r="F34" s="16"/>
      <c r="G34" s="115">
        <f t="shared" si="7"/>
        <v>70425.45</v>
      </c>
      <c r="H34" s="102">
        <f>('Consumption Guide'!G29*O34)/1000</f>
        <v>10088.281000000001</v>
      </c>
      <c r="I34" s="225">
        <f t="shared" si="0"/>
        <v>-14599.961000000012</v>
      </c>
      <c r="J34" s="103">
        <f>(K34+M34+L34)</f>
        <v>0</v>
      </c>
      <c r="K34" s="129"/>
      <c r="L34" s="116"/>
      <c r="M34" s="121"/>
      <c r="N34" s="112"/>
      <c r="O34" s="113">
        <f t="shared" si="3"/>
        <v>94283</v>
      </c>
      <c r="P34" s="107"/>
      <c r="Q34" s="102"/>
      <c r="R34" s="107">
        <f t="shared" si="6"/>
        <v>0</v>
      </c>
      <c r="S34" s="108"/>
      <c r="T34" s="109"/>
      <c r="U34" s="108"/>
      <c r="V34" s="91"/>
      <c r="W34" s="92"/>
    </row>
    <row r="35" spans="1:23" x14ac:dyDescent="0.25">
      <c r="A35" s="25">
        <f t="shared" si="8"/>
        <v>23</v>
      </c>
      <c r="B35" s="401">
        <f t="shared" si="8"/>
        <v>46126</v>
      </c>
      <c r="C35" s="402"/>
      <c r="D35" s="110">
        <f t="shared" si="2"/>
        <v>99000</v>
      </c>
      <c r="E35" s="16"/>
      <c r="F35" s="16"/>
      <c r="G35" s="115">
        <f t="shared" si="7"/>
        <v>70425.45</v>
      </c>
      <c r="H35" s="102">
        <f>('Consumption Guide'!G30*O35)/1000</f>
        <v>10653.978999999999</v>
      </c>
      <c r="I35" s="225">
        <f t="shared" si="0"/>
        <v>-25253.94000000001</v>
      </c>
      <c r="J35" s="103">
        <f t="shared" si="5"/>
        <v>0</v>
      </c>
      <c r="K35" s="129"/>
      <c r="L35" s="97"/>
      <c r="M35" s="121"/>
      <c r="N35" s="112"/>
      <c r="O35" s="113">
        <f t="shared" si="3"/>
        <v>94283</v>
      </c>
      <c r="P35" s="107"/>
      <c r="Q35" s="102"/>
      <c r="R35" s="107">
        <f t="shared" si="6"/>
        <v>0</v>
      </c>
      <c r="S35" s="108"/>
      <c r="T35" s="109"/>
      <c r="U35" s="108"/>
      <c r="V35" s="91"/>
      <c r="W35" s="92"/>
    </row>
    <row r="36" spans="1:23" x14ac:dyDescent="0.25">
      <c r="A36" s="25">
        <f t="shared" si="8"/>
        <v>24</v>
      </c>
      <c r="B36" s="401">
        <f t="shared" si="8"/>
        <v>46127</v>
      </c>
      <c r="C36" s="402"/>
      <c r="D36" s="110">
        <f t="shared" si="2"/>
        <v>99000</v>
      </c>
      <c r="E36" s="16"/>
      <c r="F36" s="16"/>
      <c r="G36" s="115">
        <f t="shared" si="7"/>
        <v>70425.45</v>
      </c>
      <c r="H36" s="102">
        <f>('Consumption Guide'!G31*O36)/1000</f>
        <v>11125.394</v>
      </c>
      <c r="I36" s="225">
        <f t="shared" si="0"/>
        <v>-36379.33400000001</v>
      </c>
      <c r="J36" s="103">
        <f t="shared" si="5"/>
        <v>0</v>
      </c>
      <c r="K36" s="129"/>
      <c r="L36" s="97"/>
      <c r="M36" s="121"/>
      <c r="N36" s="112"/>
      <c r="O36" s="113">
        <f t="shared" si="3"/>
        <v>94283</v>
      </c>
      <c r="P36" s="107"/>
      <c r="Q36" s="102"/>
      <c r="R36" s="107">
        <f t="shared" si="6"/>
        <v>0</v>
      </c>
      <c r="S36" s="108"/>
      <c r="T36" s="109"/>
      <c r="U36" s="108"/>
      <c r="V36" s="91"/>
      <c r="W36" s="92"/>
    </row>
    <row r="37" spans="1:23" x14ac:dyDescent="0.25">
      <c r="A37" s="25">
        <f t="shared" si="8"/>
        <v>25</v>
      </c>
      <c r="B37" s="401">
        <f t="shared" si="8"/>
        <v>46128</v>
      </c>
      <c r="C37" s="402"/>
      <c r="D37" s="110">
        <f t="shared" si="2"/>
        <v>99000</v>
      </c>
      <c r="E37" s="114"/>
      <c r="F37" s="114"/>
      <c r="G37" s="123">
        <f>H4-E36</f>
        <v>160281.1</v>
      </c>
      <c r="H37" s="102">
        <f>('Consumption Guide'!G32*O37)/1000</f>
        <v>11502.526</v>
      </c>
      <c r="I37" s="225">
        <f t="shared" si="0"/>
        <v>-47881.860000000008</v>
      </c>
      <c r="J37" s="103">
        <f t="shared" si="5"/>
        <v>0</v>
      </c>
      <c r="K37" s="129"/>
      <c r="L37" s="97"/>
      <c r="M37" s="119"/>
      <c r="N37" s="112"/>
      <c r="O37" s="113">
        <f t="shared" si="3"/>
        <v>94283</v>
      </c>
      <c r="P37" s="107"/>
      <c r="Q37" s="102"/>
      <c r="R37" s="107">
        <f t="shared" si="6"/>
        <v>0</v>
      </c>
      <c r="S37" s="108"/>
      <c r="T37" s="109"/>
      <c r="U37" s="108"/>
      <c r="V37" s="91"/>
      <c r="W37" s="92"/>
    </row>
    <row r="38" spans="1:23" s="124" customFormat="1" x14ac:dyDescent="0.25">
      <c r="A38" s="124">
        <f t="shared" si="8"/>
        <v>26</v>
      </c>
      <c r="B38" s="401">
        <f t="shared" si="8"/>
        <v>46129</v>
      </c>
      <c r="C38" s="402"/>
      <c r="D38" s="110">
        <f t="shared" si="2"/>
        <v>99000</v>
      </c>
      <c r="E38" s="16"/>
      <c r="F38" s="16"/>
      <c r="G38" s="123">
        <f t="shared" ref="G38:G44" si="9">G37-E38</f>
        <v>160281.1</v>
      </c>
      <c r="H38" s="102">
        <f>('Consumption Guide'!G33*O38)/1000</f>
        <v>12068.224</v>
      </c>
      <c r="I38" s="225">
        <f t="shared" si="0"/>
        <v>-59950.08400000001</v>
      </c>
      <c r="J38" s="103">
        <f t="shared" si="5"/>
        <v>0</v>
      </c>
      <c r="K38" s="129"/>
      <c r="L38" s="170"/>
      <c r="M38" s="121"/>
      <c r="N38" s="126"/>
      <c r="O38" s="113">
        <f t="shared" si="3"/>
        <v>94283</v>
      </c>
      <c r="P38" s="107"/>
      <c r="Q38" s="102"/>
      <c r="R38" s="107">
        <f t="shared" si="6"/>
        <v>0</v>
      </c>
      <c r="S38" s="108"/>
      <c r="T38" s="109"/>
      <c r="U38" s="108"/>
      <c r="V38" s="127"/>
      <c r="W38" s="128"/>
    </row>
    <row r="39" spans="1:23" x14ac:dyDescent="0.25">
      <c r="A39" s="25">
        <f t="shared" si="8"/>
        <v>27</v>
      </c>
      <c r="B39" s="401">
        <f t="shared" si="8"/>
        <v>46130</v>
      </c>
      <c r="C39" s="402"/>
      <c r="D39" s="110">
        <f t="shared" si="2"/>
        <v>99000</v>
      </c>
      <c r="E39" s="114"/>
      <c r="F39" s="16"/>
      <c r="G39" s="123">
        <f t="shared" si="9"/>
        <v>160281.1</v>
      </c>
      <c r="H39" s="102">
        <f>('Consumption Guide'!G34*O39)/1000</f>
        <v>12633.922</v>
      </c>
      <c r="I39" s="225">
        <f t="shared" si="0"/>
        <v>-72584.006000000008</v>
      </c>
      <c r="J39" s="103">
        <f t="shared" si="5"/>
        <v>0</v>
      </c>
      <c r="K39" s="129"/>
      <c r="L39" s="170"/>
      <c r="M39" s="171"/>
      <c r="N39" s="112"/>
      <c r="O39" s="113">
        <f t="shared" si="3"/>
        <v>94283</v>
      </c>
      <c r="P39" s="107"/>
      <c r="Q39" s="102"/>
      <c r="R39" s="107">
        <f t="shared" si="6"/>
        <v>0</v>
      </c>
      <c r="S39" s="108"/>
      <c r="T39" s="109"/>
      <c r="U39" s="108"/>
      <c r="V39" s="91"/>
      <c r="W39" s="92"/>
    </row>
    <row r="40" spans="1:23" x14ac:dyDescent="0.25">
      <c r="A40" s="25">
        <f t="shared" si="8"/>
        <v>28</v>
      </c>
      <c r="B40" s="401">
        <f t="shared" si="8"/>
        <v>46131</v>
      </c>
      <c r="C40" s="402"/>
      <c r="D40" s="110">
        <f t="shared" si="2"/>
        <v>99000</v>
      </c>
      <c r="E40" s="16"/>
      <c r="F40" s="16"/>
      <c r="G40" s="123">
        <f t="shared" si="9"/>
        <v>160281.1</v>
      </c>
      <c r="H40" s="102">
        <f>('Consumption Guide'!G35*O40)/1000</f>
        <v>13105.337</v>
      </c>
      <c r="I40" s="225">
        <f t="shared" si="0"/>
        <v>-85689.343000000008</v>
      </c>
      <c r="J40" s="103">
        <f t="shared" si="5"/>
        <v>0</v>
      </c>
      <c r="K40" s="129"/>
      <c r="L40" s="170"/>
      <c r="M40" s="171"/>
      <c r="N40" s="131"/>
      <c r="O40" s="113">
        <f t="shared" si="3"/>
        <v>94283</v>
      </c>
      <c r="P40" s="107"/>
      <c r="Q40" s="102"/>
      <c r="R40" s="107">
        <f t="shared" si="6"/>
        <v>0</v>
      </c>
      <c r="S40" s="108"/>
      <c r="T40" s="109"/>
      <c r="U40" s="108"/>
      <c r="V40" s="91"/>
      <c r="W40" s="92"/>
    </row>
    <row r="41" spans="1:23" x14ac:dyDescent="0.25">
      <c r="A41" s="25">
        <f t="shared" si="8"/>
        <v>29</v>
      </c>
      <c r="B41" s="401">
        <f t="shared" si="8"/>
        <v>46132</v>
      </c>
      <c r="C41" s="402"/>
      <c r="D41" s="110">
        <f t="shared" si="2"/>
        <v>99000</v>
      </c>
      <c r="E41" s="16"/>
      <c r="F41" s="16"/>
      <c r="G41" s="123">
        <f t="shared" si="9"/>
        <v>160281.1</v>
      </c>
      <c r="H41" s="102">
        <f>('Consumption Guide'!G36*O41)/1000</f>
        <v>13199.62</v>
      </c>
      <c r="I41" s="225">
        <f t="shared" si="0"/>
        <v>-98888.963000000003</v>
      </c>
      <c r="J41" s="103">
        <f t="shared" si="5"/>
        <v>0</v>
      </c>
      <c r="K41" s="129"/>
      <c r="L41" s="170"/>
      <c r="M41" s="171"/>
      <c r="N41" s="132"/>
      <c r="O41" s="113">
        <f t="shared" si="3"/>
        <v>94283</v>
      </c>
      <c r="P41" s="107"/>
      <c r="Q41" s="102"/>
      <c r="R41" s="107">
        <f t="shared" si="6"/>
        <v>0</v>
      </c>
      <c r="S41" s="108"/>
      <c r="T41" s="109"/>
      <c r="U41" s="108"/>
      <c r="V41" s="91"/>
      <c r="W41" s="92"/>
    </row>
    <row r="42" spans="1:23" x14ac:dyDescent="0.25">
      <c r="A42" s="25">
        <f t="shared" si="8"/>
        <v>30</v>
      </c>
      <c r="B42" s="401">
        <f t="shared" si="8"/>
        <v>46133</v>
      </c>
      <c r="C42" s="402"/>
      <c r="D42" s="110">
        <f t="shared" si="2"/>
        <v>99000</v>
      </c>
      <c r="E42" s="16"/>
      <c r="F42" s="16"/>
      <c r="G42" s="123">
        <f t="shared" si="9"/>
        <v>160281.1</v>
      </c>
      <c r="H42" s="102">
        <f>('Consumption Guide'!G37*O42)/1000</f>
        <v>13388.186</v>
      </c>
      <c r="I42" s="225">
        <f t="shared" si="0"/>
        <v>-112277.149</v>
      </c>
      <c r="J42" s="103">
        <f t="shared" si="5"/>
        <v>0</v>
      </c>
      <c r="K42" s="129"/>
      <c r="L42" s="130"/>
      <c r="M42" s="133"/>
      <c r="N42" s="132"/>
      <c r="O42" s="113">
        <f t="shared" si="3"/>
        <v>94283</v>
      </c>
      <c r="P42" s="107"/>
      <c r="Q42" s="102"/>
      <c r="R42" s="107">
        <f t="shared" si="6"/>
        <v>0</v>
      </c>
      <c r="S42" s="108"/>
      <c r="T42" s="109"/>
      <c r="U42" s="108"/>
      <c r="V42" s="91"/>
      <c r="W42" s="92"/>
    </row>
    <row r="43" spans="1:23" x14ac:dyDescent="0.25">
      <c r="A43" s="25">
        <f t="shared" si="8"/>
        <v>31</v>
      </c>
      <c r="B43" s="401">
        <f t="shared" si="8"/>
        <v>46134</v>
      </c>
      <c r="C43" s="402"/>
      <c r="D43" s="110">
        <f t="shared" si="2"/>
        <v>99000</v>
      </c>
      <c r="E43" s="16"/>
      <c r="F43" s="16"/>
      <c r="G43" s="123">
        <f t="shared" si="9"/>
        <v>160281.1</v>
      </c>
      <c r="H43" s="102">
        <f>('Consumption Guide'!G38*O43)/1000</f>
        <v>14048.166999999999</v>
      </c>
      <c r="I43" s="225">
        <f t="shared" si="0"/>
        <v>-126325.31600000001</v>
      </c>
      <c r="J43" s="103">
        <f t="shared" si="5"/>
        <v>0</v>
      </c>
      <c r="K43" s="129"/>
      <c r="L43" s="130"/>
      <c r="M43" s="134"/>
      <c r="N43" s="126"/>
      <c r="O43" s="113">
        <f t="shared" si="3"/>
        <v>94283</v>
      </c>
      <c r="P43" s="107"/>
      <c r="Q43" s="102"/>
      <c r="R43" s="107">
        <f t="shared" si="6"/>
        <v>0</v>
      </c>
      <c r="S43" s="108"/>
      <c r="T43" s="109"/>
      <c r="U43" s="108"/>
      <c r="V43" s="91"/>
      <c r="W43" s="92"/>
    </row>
    <row r="44" spans="1:23" x14ac:dyDescent="0.25">
      <c r="A44" s="25">
        <f t="shared" si="8"/>
        <v>32</v>
      </c>
      <c r="B44" s="401">
        <f t="shared" si="8"/>
        <v>46135</v>
      </c>
      <c r="C44" s="402"/>
      <c r="D44" s="110">
        <f t="shared" si="2"/>
        <v>99000</v>
      </c>
      <c r="E44" s="16"/>
      <c r="F44" s="16"/>
      <c r="G44" s="123">
        <f t="shared" si="9"/>
        <v>160281.1</v>
      </c>
      <c r="H44" s="102">
        <f>('Consumption Guide'!G39*O44)/1000</f>
        <v>14425.299000000001</v>
      </c>
      <c r="I44" s="225">
        <f t="shared" si="0"/>
        <v>-140750.61500000002</v>
      </c>
      <c r="J44" s="103">
        <f>(K44+M44+L44)</f>
        <v>0</v>
      </c>
      <c r="K44" s="129"/>
      <c r="L44" s="130"/>
      <c r="M44" s="134"/>
      <c r="N44" s="99"/>
      <c r="O44" s="113">
        <f t="shared" si="3"/>
        <v>94283</v>
      </c>
      <c r="P44" s="107"/>
      <c r="Q44" s="102"/>
      <c r="R44" s="107">
        <f t="shared" si="6"/>
        <v>0</v>
      </c>
      <c r="S44" s="108"/>
      <c r="T44" s="109"/>
      <c r="U44" s="108"/>
      <c r="V44" s="91"/>
      <c r="W44" s="92"/>
    </row>
    <row r="45" spans="1:23" s="124" customFormat="1" x14ac:dyDescent="0.25">
      <c r="A45" s="124">
        <f t="shared" si="8"/>
        <v>33</v>
      </c>
      <c r="B45" s="401">
        <f t="shared" si="8"/>
        <v>46136</v>
      </c>
      <c r="C45" s="402"/>
      <c r="D45" s="110">
        <f t="shared" si="2"/>
        <v>99000</v>
      </c>
      <c r="E45" s="391"/>
      <c r="F45" s="277"/>
      <c r="G45" s="135">
        <v>0</v>
      </c>
      <c r="H45" s="102">
        <f>('Consumption Guide'!G40*O45)/1000</f>
        <v>14896.714</v>
      </c>
      <c r="I45" s="225">
        <f t="shared" si="0"/>
        <v>-155647.32900000003</v>
      </c>
      <c r="J45" s="103">
        <f t="shared" si="5"/>
        <v>0</v>
      </c>
      <c r="K45" s="129"/>
      <c r="L45" s="130"/>
      <c r="M45" s="134"/>
      <c r="N45" s="99"/>
      <c r="O45" s="113">
        <f t="shared" si="3"/>
        <v>94283</v>
      </c>
      <c r="P45" s="136"/>
      <c r="Q45" s="102"/>
      <c r="R45" s="107">
        <f t="shared" si="6"/>
        <v>0</v>
      </c>
      <c r="S45" s="108"/>
      <c r="T45" s="109"/>
      <c r="U45" s="108"/>
      <c r="V45" s="127"/>
      <c r="W45" s="128"/>
    </row>
    <row r="46" spans="1:23" x14ac:dyDescent="0.25">
      <c r="A46" s="25">
        <f t="shared" si="8"/>
        <v>34</v>
      </c>
      <c r="B46" s="401">
        <f t="shared" si="8"/>
        <v>46137</v>
      </c>
      <c r="C46" s="402"/>
      <c r="D46" s="110">
        <f t="shared" si="2"/>
        <v>99000</v>
      </c>
      <c r="E46" s="16"/>
      <c r="F46" s="99"/>
      <c r="G46" s="135">
        <v>0</v>
      </c>
      <c r="H46" s="102">
        <f>('Consumption Guide'!G41*O46)/1000</f>
        <v>15368.129000000001</v>
      </c>
      <c r="I46" s="225">
        <f t="shared" si="0"/>
        <v>-171015.45800000004</v>
      </c>
      <c r="J46" s="103">
        <f t="shared" si="5"/>
        <v>0</v>
      </c>
      <c r="K46" s="129"/>
      <c r="L46" s="130"/>
      <c r="M46" s="134"/>
      <c r="N46" s="99"/>
      <c r="O46" s="113">
        <f t="shared" ref="O46:O72" si="10">SUM(O45-N46)</f>
        <v>94283</v>
      </c>
      <c r="P46" s="136"/>
      <c r="Q46" s="102"/>
      <c r="R46" s="107">
        <f t="shared" si="6"/>
        <v>0</v>
      </c>
      <c r="S46" s="108"/>
      <c r="T46" s="109"/>
      <c r="U46" s="108"/>
      <c r="V46" s="91"/>
      <c r="W46" s="92"/>
    </row>
    <row r="47" spans="1:23" x14ac:dyDescent="0.25">
      <c r="A47" s="25">
        <f t="shared" ref="A47:B62" si="11">A46+1</f>
        <v>35</v>
      </c>
      <c r="B47" s="401">
        <f t="shared" si="11"/>
        <v>46138</v>
      </c>
      <c r="C47" s="402"/>
      <c r="D47" s="110">
        <f t="shared" si="2"/>
        <v>99000</v>
      </c>
      <c r="E47" s="16"/>
      <c r="F47" s="16"/>
      <c r="G47" s="135">
        <v>0</v>
      </c>
      <c r="H47" s="102">
        <f>('Consumption Guide'!G42*O47)/1000</f>
        <v>15556.695</v>
      </c>
      <c r="I47" s="225">
        <f t="shared" si="0"/>
        <v>-186572.15300000005</v>
      </c>
      <c r="J47" s="103">
        <f t="shared" si="5"/>
        <v>0</v>
      </c>
      <c r="K47" s="129"/>
      <c r="L47" s="130"/>
      <c r="M47" s="134"/>
      <c r="N47" s="99"/>
      <c r="O47" s="113">
        <f t="shared" si="10"/>
        <v>94283</v>
      </c>
      <c r="P47" s="136"/>
      <c r="Q47" s="102"/>
      <c r="R47" s="107">
        <f t="shared" si="6"/>
        <v>0</v>
      </c>
      <c r="S47" s="108"/>
      <c r="T47" s="109"/>
      <c r="U47" s="108"/>
      <c r="V47" s="91"/>
      <c r="W47" s="92"/>
    </row>
    <row r="48" spans="1:23" x14ac:dyDescent="0.25">
      <c r="A48" s="25">
        <f t="shared" si="11"/>
        <v>36</v>
      </c>
      <c r="B48" s="401">
        <f t="shared" si="11"/>
        <v>46139</v>
      </c>
      <c r="C48" s="402"/>
      <c r="D48" s="110">
        <f t="shared" si="2"/>
        <v>99000</v>
      </c>
      <c r="E48" s="16"/>
      <c r="F48" s="99"/>
      <c r="G48" s="135">
        <v>0</v>
      </c>
      <c r="H48" s="102">
        <f>('Consumption Guide'!G43*O48)/1000</f>
        <v>15839.544</v>
      </c>
      <c r="I48" s="225">
        <f t="shared" si="0"/>
        <v>-202411.69700000004</v>
      </c>
      <c r="J48" s="103">
        <f t="shared" si="5"/>
        <v>0</v>
      </c>
      <c r="K48" s="129"/>
      <c r="L48" s="130"/>
      <c r="M48" s="134"/>
      <c r="N48" s="99"/>
      <c r="O48" s="113">
        <f t="shared" si="10"/>
        <v>94283</v>
      </c>
      <c r="P48" s="136"/>
      <c r="Q48" s="102"/>
      <c r="R48" s="107">
        <f t="shared" si="6"/>
        <v>0</v>
      </c>
      <c r="S48" s="108"/>
      <c r="T48" s="109"/>
      <c r="U48" s="108"/>
      <c r="V48" s="91"/>
      <c r="W48" s="92"/>
    </row>
    <row r="49" spans="1:23" x14ac:dyDescent="0.25">
      <c r="A49" s="25">
        <f t="shared" si="11"/>
        <v>37</v>
      </c>
      <c r="B49" s="401">
        <f t="shared" si="11"/>
        <v>46140</v>
      </c>
      <c r="C49" s="402"/>
      <c r="D49" s="110">
        <f t="shared" si="2"/>
        <v>99000</v>
      </c>
      <c r="E49" s="391"/>
      <c r="F49" s="16"/>
      <c r="G49" s="135">
        <v>0</v>
      </c>
      <c r="H49" s="102">
        <f>('Consumption Guide'!G44*O49)/1000</f>
        <v>16122.393</v>
      </c>
      <c r="I49" s="225">
        <f t="shared" si="0"/>
        <v>-218534.09000000005</v>
      </c>
      <c r="J49" s="103">
        <f t="shared" si="5"/>
        <v>0</v>
      </c>
      <c r="K49" s="129"/>
      <c r="L49" s="130"/>
      <c r="M49" s="137"/>
      <c r="N49" s="99"/>
      <c r="O49" s="113">
        <f t="shared" si="10"/>
        <v>94283</v>
      </c>
      <c r="P49" s="136"/>
      <c r="Q49" s="102"/>
      <c r="R49" s="107">
        <f t="shared" si="6"/>
        <v>0</v>
      </c>
      <c r="S49" s="108"/>
      <c r="T49" s="109"/>
      <c r="U49" s="108"/>
      <c r="V49" s="91"/>
      <c r="W49" s="92"/>
    </row>
    <row r="50" spans="1:23" x14ac:dyDescent="0.25">
      <c r="A50" s="25">
        <f t="shared" si="11"/>
        <v>38</v>
      </c>
      <c r="B50" s="401">
        <f t="shared" si="11"/>
        <v>46141</v>
      </c>
      <c r="C50" s="402"/>
      <c r="D50" s="110">
        <f t="shared" si="2"/>
        <v>99000</v>
      </c>
      <c r="E50" s="16"/>
      <c r="F50" s="16"/>
      <c r="G50" s="135">
        <v>0</v>
      </c>
      <c r="H50" s="102">
        <f>('Consumption Guide'!G45*O50)/1000</f>
        <v>16405.241999999998</v>
      </c>
      <c r="I50" s="225">
        <f t="shared" si="0"/>
        <v>-234939.33200000005</v>
      </c>
      <c r="J50" s="103">
        <f t="shared" si="5"/>
        <v>0</v>
      </c>
      <c r="K50" s="129"/>
      <c r="L50" s="130"/>
      <c r="M50" s="134"/>
      <c r="N50" s="99"/>
      <c r="O50" s="113">
        <f t="shared" si="10"/>
        <v>94283</v>
      </c>
      <c r="P50" s="136"/>
      <c r="Q50" s="102"/>
      <c r="R50" s="107">
        <f t="shared" si="6"/>
        <v>0</v>
      </c>
      <c r="S50" s="108"/>
      <c r="T50" s="109"/>
      <c r="U50" s="108"/>
      <c r="V50" s="91"/>
      <c r="W50" s="92"/>
    </row>
    <row r="51" spans="1:23" x14ac:dyDescent="0.25">
      <c r="A51" s="25">
        <f t="shared" si="11"/>
        <v>39</v>
      </c>
      <c r="B51" s="401">
        <f t="shared" si="11"/>
        <v>46142</v>
      </c>
      <c r="C51" s="402"/>
      <c r="D51" s="110">
        <f t="shared" si="2"/>
        <v>99000</v>
      </c>
      <c r="E51" s="99"/>
      <c r="F51" s="99"/>
      <c r="G51" s="135">
        <v>0</v>
      </c>
      <c r="H51" s="102">
        <f>('Consumption Guide'!G46*O51)/1000</f>
        <v>16593.808000000001</v>
      </c>
      <c r="I51" s="225">
        <f t="shared" si="0"/>
        <v>-251533.14000000004</v>
      </c>
      <c r="J51" s="103">
        <f t="shared" si="5"/>
        <v>0</v>
      </c>
      <c r="K51" s="129"/>
      <c r="L51" s="130"/>
      <c r="M51" s="134"/>
      <c r="N51" s="16"/>
      <c r="O51" s="113">
        <f t="shared" si="10"/>
        <v>94283</v>
      </c>
      <c r="P51" s="136"/>
      <c r="Q51" s="102"/>
      <c r="R51" s="107">
        <f t="shared" si="6"/>
        <v>0</v>
      </c>
      <c r="S51" s="108"/>
      <c r="T51" s="109"/>
      <c r="U51" s="108"/>
      <c r="V51" s="91"/>
      <c r="W51" s="92"/>
    </row>
    <row r="52" spans="1:23" x14ac:dyDescent="0.25">
      <c r="A52" s="25">
        <f t="shared" si="11"/>
        <v>40</v>
      </c>
      <c r="B52" s="401">
        <f t="shared" si="11"/>
        <v>46143</v>
      </c>
      <c r="C52" s="402"/>
      <c r="D52" s="110">
        <f t="shared" si="2"/>
        <v>99000</v>
      </c>
      <c r="E52" s="99"/>
      <c r="F52" s="99"/>
      <c r="G52" s="135">
        <v>0</v>
      </c>
      <c r="H52" s="102">
        <f>('Consumption Guide'!G47*O52)/1000</f>
        <v>16782.374</v>
      </c>
      <c r="I52" s="225">
        <f t="shared" si="0"/>
        <v>-268315.51400000002</v>
      </c>
      <c r="J52" s="103">
        <f t="shared" si="5"/>
        <v>0</v>
      </c>
      <c r="K52" s="129"/>
      <c r="L52" s="130"/>
      <c r="M52" s="134"/>
      <c r="N52" s="99"/>
      <c r="O52" s="113">
        <f t="shared" si="10"/>
        <v>94283</v>
      </c>
      <c r="P52" s="136"/>
      <c r="Q52" s="102"/>
      <c r="R52" s="107">
        <f t="shared" si="6"/>
        <v>0</v>
      </c>
      <c r="S52" s="108"/>
      <c r="T52" s="109"/>
      <c r="U52" s="108"/>
      <c r="V52" s="91"/>
      <c r="W52" s="92"/>
    </row>
    <row r="53" spans="1:23" x14ac:dyDescent="0.25">
      <c r="A53" s="139">
        <f t="shared" si="11"/>
        <v>41</v>
      </c>
      <c r="B53" s="401">
        <f t="shared" si="11"/>
        <v>46144</v>
      </c>
      <c r="C53" s="402"/>
      <c r="D53" s="140">
        <f t="shared" si="2"/>
        <v>99000</v>
      </c>
      <c r="E53" s="99"/>
      <c r="F53" s="99"/>
      <c r="G53" s="135">
        <v>0</v>
      </c>
      <c r="H53" s="141">
        <f>('Consumption Guide'!G48*O53)/1000</f>
        <v>16970.939999999999</v>
      </c>
      <c r="I53" s="226">
        <f t="shared" si="0"/>
        <v>-285286.45400000003</v>
      </c>
      <c r="J53" s="103">
        <f t="shared" si="5"/>
        <v>0</v>
      </c>
      <c r="K53" s="129"/>
      <c r="L53" s="16"/>
      <c r="M53" s="142"/>
      <c r="N53" s="130"/>
      <c r="O53" s="113">
        <f t="shared" si="10"/>
        <v>94283</v>
      </c>
      <c r="P53" s="136"/>
      <c r="Q53" s="102"/>
      <c r="R53" s="107">
        <f t="shared" si="6"/>
        <v>0</v>
      </c>
      <c r="S53" s="108"/>
      <c r="T53" s="109"/>
      <c r="U53" s="108"/>
      <c r="V53" s="91"/>
      <c r="W53" s="92"/>
    </row>
    <row r="54" spans="1:23" ht="20.25" customHeight="1" x14ac:dyDescent="0.25">
      <c r="A54" s="25">
        <f t="shared" si="11"/>
        <v>42</v>
      </c>
      <c r="B54" s="401">
        <f t="shared" si="11"/>
        <v>46145</v>
      </c>
      <c r="C54" s="402"/>
      <c r="D54" s="110">
        <f t="shared" si="2"/>
        <v>99000</v>
      </c>
      <c r="E54" s="99"/>
      <c r="F54" s="99"/>
      <c r="G54" s="135">
        <v>0</v>
      </c>
      <c r="H54" s="102">
        <f>('Consumption Guide'!G49*O54)/1000</f>
        <v>17065.223000000002</v>
      </c>
      <c r="I54" s="225">
        <f t="shared" si="0"/>
        <v>-302351.67700000003</v>
      </c>
      <c r="J54" s="103">
        <f t="shared" si="5"/>
        <v>0</v>
      </c>
      <c r="K54" s="138"/>
      <c r="L54" s="99"/>
      <c r="M54" s="142"/>
      <c r="N54" s="99"/>
      <c r="O54" s="113">
        <f t="shared" si="10"/>
        <v>94283</v>
      </c>
      <c r="P54" s="136"/>
      <c r="Q54" s="102"/>
      <c r="R54" s="107">
        <f t="shared" si="6"/>
        <v>0</v>
      </c>
      <c r="S54" s="108"/>
      <c r="T54" s="109"/>
      <c r="U54" s="109"/>
      <c r="V54" s="91"/>
      <c r="W54" s="92"/>
    </row>
    <row r="55" spans="1:23" x14ac:dyDescent="0.25">
      <c r="A55" s="25">
        <f t="shared" si="11"/>
        <v>43</v>
      </c>
      <c r="B55" s="401">
        <f t="shared" si="11"/>
        <v>46146</v>
      </c>
      <c r="C55" s="402"/>
      <c r="D55" s="110">
        <f t="shared" si="2"/>
        <v>99000</v>
      </c>
      <c r="E55" s="99"/>
      <c r="F55" s="99"/>
      <c r="G55" s="135">
        <v>0</v>
      </c>
      <c r="H55" s="102">
        <f>('Consumption Guide'!G50*O55)/1000</f>
        <v>17725.204000000002</v>
      </c>
      <c r="I55" s="225">
        <f t="shared" si="0"/>
        <v>-320076.88100000005</v>
      </c>
      <c r="J55" s="103">
        <f t="shared" si="5"/>
        <v>0</v>
      </c>
      <c r="K55" s="138"/>
      <c r="L55" s="99"/>
      <c r="M55" s="118"/>
      <c r="N55" s="99"/>
      <c r="O55" s="113">
        <f t="shared" si="10"/>
        <v>94283</v>
      </c>
      <c r="P55" s="136"/>
      <c r="Q55" s="102"/>
      <c r="R55" s="107">
        <f t="shared" si="6"/>
        <v>0</v>
      </c>
      <c r="S55" s="108"/>
      <c r="T55" s="109"/>
      <c r="U55" s="108"/>
      <c r="V55" s="91"/>
      <c r="W55" s="92"/>
    </row>
    <row r="56" spans="1:23" ht="21" customHeight="1" x14ac:dyDescent="0.25">
      <c r="A56" s="25">
        <f t="shared" si="11"/>
        <v>44</v>
      </c>
      <c r="B56" s="401">
        <f t="shared" si="11"/>
        <v>46147</v>
      </c>
      <c r="C56" s="402"/>
      <c r="D56" s="110">
        <f t="shared" si="2"/>
        <v>99000</v>
      </c>
      <c r="E56" s="99"/>
      <c r="F56" s="99"/>
      <c r="G56" s="135">
        <v>0</v>
      </c>
      <c r="H56" s="102">
        <f>('Consumption Guide'!G51*O56)/1000</f>
        <v>17913.77</v>
      </c>
      <c r="I56" s="225">
        <f t="shared" si="0"/>
        <v>-337990.65100000007</v>
      </c>
      <c r="J56" s="103">
        <f t="shared" si="5"/>
        <v>0</v>
      </c>
      <c r="K56" s="138"/>
      <c r="L56" s="99"/>
      <c r="M56" s="118"/>
      <c r="N56" s="130"/>
      <c r="O56" s="113">
        <f t="shared" si="10"/>
        <v>94283</v>
      </c>
      <c r="P56" s="136"/>
      <c r="Q56" s="102"/>
      <c r="R56" s="107">
        <f t="shared" si="6"/>
        <v>0</v>
      </c>
      <c r="S56" s="108"/>
      <c r="T56" s="109"/>
      <c r="U56" s="108"/>
      <c r="V56" s="91"/>
      <c r="W56" s="92"/>
    </row>
    <row r="57" spans="1:23" x14ac:dyDescent="0.25">
      <c r="A57" s="25">
        <f t="shared" si="11"/>
        <v>45</v>
      </c>
      <c r="B57" s="401">
        <f t="shared" si="11"/>
        <v>46148</v>
      </c>
      <c r="C57" s="402"/>
      <c r="D57" s="110">
        <f t="shared" si="2"/>
        <v>99000</v>
      </c>
      <c r="E57" s="99"/>
      <c r="F57" s="99"/>
      <c r="G57" s="135">
        <v>0</v>
      </c>
      <c r="H57" s="102">
        <f>('Consumption Guide'!G52*O57)/1000</f>
        <v>18102.335999999999</v>
      </c>
      <c r="I57" s="225">
        <f t="shared" si="0"/>
        <v>-356092.98700000008</v>
      </c>
      <c r="J57" s="103">
        <f t="shared" si="5"/>
        <v>0</v>
      </c>
      <c r="K57" s="138"/>
      <c r="L57" s="99"/>
      <c r="M57" s="118"/>
      <c r="N57" s="99"/>
      <c r="O57" s="113">
        <f t="shared" si="10"/>
        <v>94283</v>
      </c>
      <c r="P57" s="136"/>
      <c r="Q57" s="102"/>
      <c r="R57" s="107">
        <f t="shared" si="6"/>
        <v>0</v>
      </c>
      <c r="S57" s="108"/>
      <c r="T57" s="109"/>
      <c r="U57" s="109"/>
      <c r="V57" s="91"/>
      <c r="W57" s="92"/>
    </row>
    <row r="58" spans="1:23" s="124" customFormat="1" x14ac:dyDescent="0.25">
      <c r="A58" s="124">
        <f t="shared" si="11"/>
        <v>46</v>
      </c>
      <c r="B58" s="401">
        <f t="shared" si="11"/>
        <v>46149</v>
      </c>
      <c r="C58" s="402"/>
      <c r="D58" s="110">
        <f t="shared" si="2"/>
        <v>99000</v>
      </c>
      <c r="E58" s="99"/>
      <c r="F58" s="99"/>
      <c r="G58" s="135">
        <v>0</v>
      </c>
      <c r="H58" s="102">
        <f>('Consumption Guide'!G53*O58)/1000</f>
        <v>18196.618999999999</v>
      </c>
      <c r="I58" s="102">
        <f t="shared" si="0"/>
        <v>-374289.60600000009</v>
      </c>
      <c r="J58" s="103">
        <f t="shared" si="5"/>
        <v>0</v>
      </c>
      <c r="K58" s="138"/>
      <c r="L58" s="99"/>
      <c r="M58" s="118"/>
      <c r="N58" s="99"/>
      <c r="O58" s="113">
        <f t="shared" si="10"/>
        <v>94283</v>
      </c>
      <c r="P58" s="173"/>
      <c r="Q58" s="102"/>
      <c r="R58" s="107">
        <f t="shared" si="6"/>
        <v>0</v>
      </c>
      <c r="S58" s="108"/>
      <c r="T58" s="109"/>
      <c r="U58" s="109"/>
      <c r="V58" s="127"/>
      <c r="W58" s="128"/>
    </row>
    <row r="59" spans="1:23" x14ac:dyDescent="0.25">
      <c r="A59" s="25">
        <f t="shared" si="11"/>
        <v>47</v>
      </c>
      <c r="B59" s="401">
        <f t="shared" si="11"/>
        <v>46150</v>
      </c>
      <c r="C59" s="402"/>
      <c r="D59" s="110">
        <f>D58+E59</f>
        <v>99000</v>
      </c>
      <c r="E59" s="99"/>
      <c r="F59" s="99"/>
      <c r="G59" s="135">
        <v>0</v>
      </c>
      <c r="H59" s="102">
        <f>('Consumption Guide'!G54*O59)/1000</f>
        <v>18290.901999999998</v>
      </c>
      <c r="I59" s="225">
        <f>IF((J59&gt;0),(J59-H59+E59),(I58-H59+E59))</f>
        <v>-392580.50800000009</v>
      </c>
      <c r="J59" s="103">
        <f t="shared" si="5"/>
        <v>0</v>
      </c>
      <c r="K59" s="138"/>
      <c r="L59" s="99"/>
      <c r="M59" s="118"/>
      <c r="N59" s="99"/>
      <c r="O59" s="113">
        <f t="shared" si="10"/>
        <v>94283</v>
      </c>
      <c r="P59" s="136"/>
      <c r="Q59" s="102"/>
      <c r="R59" s="107">
        <f t="shared" si="6"/>
        <v>0</v>
      </c>
      <c r="S59" s="108"/>
      <c r="T59" s="109"/>
      <c r="U59" s="108"/>
      <c r="V59" s="91"/>
      <c r="W59" s="92"/>
    </row>
    <row r="60" spans="1:23" s="124" customFormat="1" ht="24" customHeight="1" x14ac:dyDescent="0.25">
      <c r="A60" s="124">
        <f t="shared" si="11"/>
        <v>48</v>
      </c>
      <c r="B60" s="401">
        <f t="shared" si="11"/>
        <v>46151</v>
      </c>
      <c r="C60" s="402"/>
      <c r="D60" s="110">
        <f t="shared" si="2"/>
        <v>99000</v>
      </c>
      <c r="E60" s="99"/>
      <c r="F60" s="99"/>
      <c r="G60" s="135">
        <v>0</v>
      </c>
      <c r="H60" s="102">
        <f>('Consumption Guide'!G55*O60)/1000</f>
        <v>18385.185000000001</v>
      </c>
      <c r="I60" s="225">
        <f t="shared" si="0"/>
        <v>-410965.69300000009</v>
      </c>
      <c r="J60" s="103">
        <f t="shared" si="5"/>
        <v>0</v>
      </c>
      <c r="K60" s="138"/>
      <c r="L60" s="99"/>
      <c r="M60" s="118"/>
      <c r="N60" s="16"/>
      <c r="O60" s="113">
        <f t="shared" si="10"/>
        <v>94283</v>
      </c>
      <c r="P60" s="136"/>
      <c r="Q60" s="102"/>
      <c r="R60" s="107">
        <f t="shared" si="6"/>
        <v>0</v>
      </c>
      <c r="S60" s="108"/>
      <c r="T60" s="109"/>
      <c r="U60" s="108"/>
      <c r="V60" s="127"/>
      <c r="W60" s="128"/>
    </row>
    <row r="61" spans="1:23" s="124" customFormat="1" x14ac:dyDescent="0.25">
      <c r="A61" s="124">
        <f t="shared" si="11"/>
        <v>49</v>
      </c>
      <c r="B61" s="401">
        <f t="shared" si="11"/>
        <v>46152</v>
      </c>
      <c r="C61" s="402"/>
      <c r="D61" s="110">
        <f>D60+E61</f>
        <v>99000</v>
      </c>
      <c r="E61" s="99"/>
      <c r="F61" s="99"/>
      <c r="G61" s="135">
        <v>0</v>
      </c>
      <c r="H61" s="102">
        <f>('Consumption Guide'!G56*O61)/1000</f>
        <v>18479.468000000001</v>
      </c>
      <c r="I61" s="225">
        <f>IF((J61&gt;0),(J61-H61+E61),(I60-H61+E61))</f>
        <v>-429445.16100000008</v>
      </c>
      <c r="J61" s="103">
        <f t="shared" si="5"/>
        <v>0</v>
      </c>
      <c r="K61" s="138"/>
      <c r="L61" s="99"/>
      <c r="M61" s="118"/>
      <c r="N61" s="99"/>
      <c r="O61" s="113">
        <f>SUM(O60-N61)</f>
        <v>94283</v>
      </c>
      <c r="P61" s="136"/>
      <c r="Q61" s="102"/>
      <c r="R61" s="107">
        <f t="shared" si="6"/>
        <v>0</v>
      </c>
      <c r="S61" s="108"/>
      <c r="T61" s="109"/>
      <c r="U61" s="108"/>
      <c r="V61" s="127"/>
      <c r="W61" s="128"/>
    </row>
    <row r="62" spans="1:23" s="124" customFormat="1" x14ac:dyDescent="0.25">
      <c r="A62" s="124">
        <f t="shared" si="11"/>
        <v>50</v>
      </c>
      <c r="B62" s="401">
        <f t="shared" si="11"/>
        <v>46153</v>
      </c>
      <c r="C62" s="402"/>
      <c r="D62" s="110">
        <f t="shared" si="2"/>
        <v>99000</v>
      </c>
      <c r="E62" s="99"/>
      <c r="F62" s="99"/>
      <c r="G62" s="135">
        <v>0</v>
      </c>
      <c r="H62" s="102">
        <f>('Consumption Guide'!G57*O62)/1000</f>
        <v>18573.751</v>
      </c>
      <c r="I62" s="102">
        <f t="shared" si="0"/>
        <v>-448018.91200000007</v>
      </c>
      <c r="J62" s="103">
        <f t="shared" si="5"/>
        <v>0</v>
      </c>
      <c r="K62" s="138"/>
      <c r="L62" s="99"/>
      <c r="M62" s="118"/>
      <c r="N62" s="170"/>
      <c r="O62" s="113">
        <f>SUM(O61-N62)</f>
        <v>94283</v>
      </c>
      <c r="P62" s="136"/>
      <c r="Q62" s="102"/>
      <c r="R62" s="107">
        <f t="shared" si="6"/>
        <v>0</v>
      </c>
      <c r="S62" s="108"/>
      <c r="T62" s="109"/>
      <c r="U62" s="108"/>
      <c r="V62" s="127"/>
      <c r="W62" s="128"/>
    </row>
    <row r="63" spans="1:23" s="124" customFormat="1" x14ac:dyDescent="0.25">
      <c r="A63" s="124">
        <f t="shared" ref="A63:B72" si="12">A62+1</f>
        <v>51</v>
      </c>
      <c r="B63" s="401">
        <f t="shared" si="12"/>
        <v>46154</v>
      </c>
      <c r="C63" s="402"/>
      <c r="D63" s="110">
        <f t="shared" si="2"/>
        <v>99000</v>
      </c>
      <c r="E63" s="99"/>
      <c r="F63" s="99"/>
      <c r="G63" s="135">
        <v>0</v>
      </c>
      <c r="H63" s="102">
        <f>('Consumption Guide'!G58*O63)/1000</f>
        <v>18573.751</v>
      </c>
      <c r="I63" s="102">
        <f t="shared" si="0"/>
        <v>-466592.66300000006</v>
      </c>
      <c r="J63" s="103">
        <f>(K63+M63+L63)</f>
        <v>0</v>
      </c>
      <c r="K63" s="138"/>
      <c r="L63" s="99"/>
      <c r="M63" s="118"/>
      <c r="N63" s="99"/>
      <c r="O63" s="113">
        <f t="shared" si="10"/>
        <v>94283</v>
      </c>
      <c r="P63" s="107"/>
      <c r="Q63" s="102"/>
      <c r="R63" s="107">
        <f t="shared" si="6"/>
        <v>0</v>
      </c>
      <c r="S63" s="108"/>
      <c r="T63" s="109"/>
      <c r="U63" s="109"/>
      <c r="V63" s="127"/>
      <c r="W63" s="128"/>
    </row>
    <row r="64" spans="1:23" s="124" customFormat="1" x14ac:dyDescent="0.25">
      <c r="A64" s="124">
        <f t="shared" si="12"/>
        <v>52</v>
      </c>
      <c r="B64" s="401">
        <f t="shared" si="12"/>
        <v>46155</v>
      </c>
      <c r="C64" s="402"/>
      <c r="D64" s="110">
        <f t="shared" si="2"/>
        <v>99000</v>
      </c>
      <c r="E64" s="99"/>
      <c r="F64" s="99"/>
      <c r="G64" s="135">
        <v>0</v>
      </c>
      <c r="H64" s="102">
        <f>('Consumption Guide'!G59*O64)/1000</f>
        <v>18573.751</v>
      </c>
      <c r="I64" s="102">
        <f t="shared" si="0"/>
        <v>-485166.41400000005</v>
      </c>
      <c r="J64" s="103">
        <f>(K64+M64+L64)</f>
        <v>0</v>
      </c>
      <c r="K64" s="138"/>
      <c r="L64" s="99"/>
      <c r="M64" s="119"/>
      <c r="N64" s="99"/>
      <c r="O64" s="113">
        <f t="shared" si="10"/>
        <v>94283</v>
      </c>
      <c r="P64" s="136"/>
      <c r="Q64" s="102"/>
      <c r="R64" s="107">
        <f t="shared" si="6"/>
        <v>0</v>
      </c>
      <c r="S64" s="108"/>
      <c r="T64" s="109"/>
      <c r="U64" s="144"/>
      <c r="V64" s="127"/>
      <c r="W64" s="128"/>
    </row>
    <row r="65" spans="1:23" s="124" customFormat="1" x14ac:dyDescent="0.25">
      <c r="A65" s="124">
        <f t="shared" si="12"/>
        <v>53</v>
      </c>
      <c r="B65" s="401">
        <f t="shared" si="12"/>
        <v>46156</v>
      </c>
      <c r="C65" s="402"/>
      <c r="D65" s="110">
        <f t="shared" si="2"/>
        <v>99000</v>
      </c>
      <c r="E65" s="99"/>
      <c r="F65" s="99"/>
      <c r="G65" s="135">
        <v>0</v>
      </c>
      <c r="H65" s="102">
        <f>('Consumption Guide'!G60*O65)/1000</f>
        <v>18668.034</v>
      </c>
      <c r="I65" s="102">
        <f t="shared" si="0"/>
        <v>-503834.44800000003</v>
      </c>
      <c r="J65" s="103">
        <f>(K65+M65+L65)</f>
        <v>0</v>
      </c>
      <c r="K65" s="138"/>
      <c r="L65" s="99"/>
      <c r="M65" s="119"/>
      <c r="N65" s="99"/>
      <c r="O65" s="113">
        <f t="shared" si="10"/>
        <v>94283</v>
      </c>
      <c r="P65" s="136"/>
      <c r="Q65" s="102"/>
      <c r="R65" s="107">
        <f t="shared" si="6"/>
        <v>0</v>
      </c>
      <c r="S65" s="108"/>
      <c r="T65" s="109"/>
      <c r="U65" s="109"/>
      <c r="V65" s="127"/>
      <c r="W65" s="128"/>
    </row>
    <row r="66" spans="1:23" s="124" customFormat="1" x14ac:dyDescent="0.25">
      <c r="A66" s="124">
        <f t="shared" si="12"/>
        <v>54</v>
      </c>
      <c r="B66" s="401">
        <f t="shared" si="12"/>
        <v>46157</v>
      </c>
      <c r="C66" s="402"/>
      <c r="D66" s="110">
        <f t="shared" si="2"/>
        <v>99000</v>
      </c>
      <c r="E66" s="99"/>
      <c r="F66" s="99"/>
      <c r="G66" s="135">
        <v>0</v>
      </c>
      <c r="H66" s="102">
        <f>('Consumption Guide'!G61*O66)/1000</f>
        <v>18573.751</v>
      </c>
      <c r="I66" s="102">
        <f t="shared" si="0"/>
        <v>-522408.19900000002</v>
      </c>
      <c r="J66" s="103">
        <f>(K66+M66+L66)</f>
        <v>0</v>
      </c>
      <c r="K66" s="138"/>
      <c r="L66" s="99"/>
      <c r="M66" s="119"/>
      <c r="N66" s="99"/>
      <c r="O66" s="113">
        <f t="shared" si="10"/>
        <v>94283</v>
      </c>
      <c r="P66" s="173"/>
      <c r="Q66" s="102"/>
      <c r="R66" s="107">
        <f t="shared" si="6"/>
        <v>0</v>
      </c>
      <c r="S66" s="108"/>
      <c r="T66" s="109"/>
      <c r="U66" s="109"/>
      <c r="V66" s="127"/>
      <c r="W66" s="128"/>
    </row>
    <row r="67" spans="1:23" s="124" customFormat="1" x14ac:dyDescent="0.25">
      <c r="A67" s="124">
        <f t="shared" si="12"/>
        <v>55</v>
      </c>
      <c r="B67" s="401">
        <f t="shared" si="12"/>
        <v>46158</v>
      </c>
      <c r="C67" s="402"/>
      <c r="D67" s="110">
        <f t="shared" si="2"/>
        <v>99000</v>
      </c>
      <c r="E67" s="99"/>
      <c r="F67" s="99"/>
      <c r="G67" s="135">
        <v>0</v>
      </c>
      <c r="H67" s="102">
        <f>('Consumption Guide'!G62*O67)/1000</f>
        <v>18668.034</v>
      </c>
      <c r="I67" s="225">
        <f t="shared" si="0"/>
        <v>-541076.23300000001</v>
      </c>
      <c r="J67" s="103">
        <f t="shared" si="5"/>
        <v>0</v>
      </c>
      <c r="K67" s="138"/>
      <c r="L67" s="99"/>
      <c r="M67" s="119"/>
      <c r="N67" s="99"/>
      <c r="O67" s="113">
        <f t="shared" si="10"/>
        <v>94283</v>
      </c>
      <c r="P67" s="136"/>
      <c r="Q67" s="102"/>
      <c r="R67" s="107">
        <f t="shared" si="6"/>
        <v>0</v>
      </c>
      <c r="S67" s="108"/>
      <c r="T67" s="109"/>
      <c r="U67" s="109"/>
      <c r="V67" s="127"/>
      <c r="W67" s="128"/>
    </row>
    <row r="68" spans="1:23" x14ac:dyDescent="0.25">
      <c r="A68" s="25">
        <f t="shared" si="12"/>
        <v>56</v>
      </c>
      <c r="B68" s="401">
        <f t="shared" si="12"/>
        <v>46159</v>
      </c>
      <c r="C68" s="402"/>
      <c r="D68" s="110">
        <f t="shared" si="2"/>
        <v>99000</v>
      </c>
      <c r="E68" s="99"/>
      <c r="F68" s="99"/>
      <c r="G68" s="135">
        <v>0</v>
      </c>
      <c r="H68" s="102">
        <f>('Consumption Guide'!G63*O68)/1000</f>
        <v>18573.751</v>
      </c>
      <c r="I68" s="225">
        <f t="shared" si="0"/>
        <v>-559649.98400000005</v>
      </c>
      <c r="J68" s="103">
        <f t="shared" si="5"/>
        <v>0</v>
      </c>
      <c r="K68" s="145"/>
      <c r="L68" s="97"/>
      <c r="M68" s="119"/>
      <c r="N68" s="130"/>
      <c r="O68" s="113">
        <f t="shared" si="10"/>
        <v>94283</v>
      </c>
      <c r="P68" s="136"/>
      <c r="Q68" s="102"/>
      <c r="R68" s="107">
        <f t="shared" si="6"/>
        <v>0</v>
      </c>
      <c r="S68" s="108"/>
      <c r="T68" s="109"/>
      <c r="U68" s="109"/>
      <c r="V68" s="91"/>
      <c r="W68" s="92"/>
    </row>
    <row r="69" spans="1:23" s="124" customFormat="1" x14ac:dyDescent="0.25">
      <c r="A69" s="124">
        <f t="shared" si="12"/>
        <v>57</v>
      </c>
      <c r="B69" s="401">
        <f t="shared" si="12"/>
        <v>46160</v>
      </c>
      <c r="C69" s="402"/>
      <c r="D69" s="110">
        <f t="shared" si="2"/>
        <v>99000</v>
      </c>
      <c r="E69" s="99"/>
      <c r="F69" s="99"/>
      <c r="G69" s="135">
        <f>G68-E69</f>
        <v>0</v>
      </c>
      <c r="H69" s="102">
        <f>('Consumption Guide'!G64*O69)/1000</f>
        <v>18385.185000000001</v>
      </c>
      <c r="I69" s="225">
        <f t="shared" si="0"/>
        <v>-578035.16900000011</v>
      </c>
      <c r="J69" s="103">
        <f t="shared" si="5"/>
        <v>0</v>
      </c>
      <c r="K69" s="145"/>
      <c r="L69" s="97"/>
      <c r="M69" s="119"/>
      <c r="N69" s="130"/>
      <c r="O69" s="113">
        <f t="shared" si="10"/>
        <v>94283</v>
      </c>
      <c r="P69" s="136"/>
      <c r="Q69" s="102"/>
      <c r="R69" s="107">
        <f t="shared" si="6"/>
        <v>0</v>
      </c>
      <c r="S69" s="108"/>
      <c r="T69" s="109"/>
      <c r="U69" s="109"/>
      <c r="V69" s="127"/>
      <c r="W69" s="128"/>
    </row>
    <row r="70" spans="1:23" x14ac:dyDescent="0.25">
      <c r="A70" s="25">
        <f t="shared" si="12"/>
        <v>58</v>
      </c>
      <c r="B70" s="401">
        <f t="shared" si="12"/>
        <v>46161</v>
      </c>
      <c r="C70" s="402"/>
      <c r="D70" s="110">
        <f t="shared" si="2"/>
        <v>99000</v>
      </c>
      <c r="E70" s="99"/>
      <c r="F70" s="99"/>
      <c r="G70" s="135">
        <f>G69-E70</f>
        <v>0</v>
      </c>
      <c r="H70" s="102">
        <f>('Consumption Guide'!G65*O70)/1000</f>
        <v>18385.185000000001</v>
      </c>
      <c r="I70" s="225">
        <f t="shared" si="0"/>
        <v>-596420.35400000017</v>
      </c>
      <c r="J70" s="103">
        <v>0</v>
      </c>
      <c r="K70" s="146"/>
      <c r="L70" s="147"/>
      <c r="M70" s="148"/>
      <c r="N70" s="130"/>
      <c r="O70" s="102">
        <f t="shared" si="10"/>
        <v>94283</v>
      </c>
      <c r="P70" s="107"/>
      <c r="Q70" s="102"/>
      <c r="R70" s="107">
        <f t="shared" si="6"/>
        <v>0</v>
      </c>
      <c r="S70" s="108"/>
      <c r="T70" s="109"/>
      <c r="U70" s="109"/>
      <c r="V70" s="91"/>
      <c r="W70" s="23"/>
    </row>
    <row r="71" spans="1:23" x14ac:dyDescent="0.25">
      <c r="A71" s="25">
        <f t="shared" si="12"/>
        <v>59</v>
      </c>
      <c r="B71" s="401">
        <f t="shared" si="12"/>
        <v>46162</v>
      </c>
      <c r="C71" s="402"/>
      <c r="D71" s="110">
        <f t="shared" si="2"/>
        <v>99000</v>
      </c>
      <c r="E71" s="99"/>
      <c r="F71" s="99"/>
      <c r="G71" s="99"/>
      <c r="H71" s="102">
        <f>('Consumption Guide'!G66*O71)/1000</f>
        <v>18385.185000000001</v>
      </c>
      <c r="I71" s="225">
        <f t="shared" si="0"/>
        <v>-614805.53900000022</v>
      </c>
      <c r="J71" s="103">
        <f t="shared" si="5"/>
        <v>0</v>
      </c>
      <c r="K71" s="146"/>
      <c r="L71" s="147"/>
      <c r="M71" s="148"/>
      <c r="N71" s="130"/>
      <c r="O71" s="102">
        <f t="shared" si="10"/>
        <v>94283</v>
      </c>
      <c r="P71" s="136"/>
      <c r="Q71" s="102"/>
      <c r="R71" s="107">
        <f t="shared" si="6"/>
        <v>0</v>
      </c>
      <c r="S71" s="108"/>
      <c r="T71" s="109"/>
      <c r="U71" s="109"/>
      <c r="V71" s="91"/>
      <c r="W71" s="23"/>
    </row>
    <row r="72" spans="1:23" ht="23.25" thickBot="1" x14ac:dyDescent="0.3">
      <c r="A72" s="25">
        <f t="shared" si="12"/>
        <v>60</v>
      </c>
      <c r="B72" s="403"/>
      <c r="C72" s="404"/>
      <c r="D72" s="149">
        <f t="shared" si="2"/>
        <v>99000</v>
      </c>
      <c r="E72" s="150"/>
      <c r="F72" s="150"/>
      <c r="G72" s="150"/>
      <c r="H72" s="102">
        <f>('Consumption Guide'!G67*O72)/1000</f>
        <v>18385.185000000001</v>
      </c>
      <c r="I72" s="227">
        <f t="shared" si="0"/>
        <v>-633190.72400000028</v>
      </c>
      <c r="J72" s="152">
        <f t="shared" si="5"/>
        <v>0</v>
      </c>
      <c r="K72" s="153"/>
      <c r="L72" s="154"/>
      <c r="M72" s="155"/>
      <c r="N72" s="156"/>
      <c r="O72" s="151">
        <f t="shared" si="10"/>
        <v>94283</v>
      </c>
      <c r="P72" s="157"/>
      <c r="Q72" s="158"/>
      <c r="R72" s="107">
        <f t="shared" si="6"/>
        <v>0</v>
      </c>
      <c r="S72" s="108"/>
      <c r="T72" s="109"/>
      <c r="U72" s="109"/>
      <c r="V72" s="91"/>
      <c r="W72" s="23"/>
    </row>
    <row r="73" spans="1:23" x14ac:dyDescent="0.25">
      <c r="A73" s="83"/>
      <c r="B73" s="159"/>
      <c r="C73" s="160"/>
      <c r="D73" s="78"/>
      <c r="E73" s="248"/>
      <c r="F73" s="248"/>
      <c r="G73" s="78"/>
      <c r="H73" s="66"/>
      <c r="I73" s="66"/>
      <c r="J73" s="161"/>
      <c r="K73" s="405" t="s">
        <v>50</v>
      </c>
      <c r="L73" s="406"/>
      <c r="M73" s="407"/>
      <c r="N73" s="42">
        <f>N51</f>
        <v>0</v>
      </c>
      <c r="O73" s="66"/>
      <c r="P73" s="67"/>
      <c r="Q73" s="39"/>
      <c r="R73" s="39"/>
      <c r="S73" s="162"/>
      <c r="T73" s="90"/>
      <c r="U73" s="89"/>
      <c r="V73" s="91"/>
    </row>
    <row r="74" spans="1:23" x14ac:dyDescent="0.25">
      <c r="B74" s="163"/>
      <c r="C74" s="164"/>
      <c r="D74" s="19"/>
      <c r="E74" s="19"/>
      <c r="F74" s="19"/>
      <c r="G74" s="19"/>
      <c r="H74" s="39"/>
      <c r="I74" s="39"/>
      <c r="J74" s="17"/>
      <c r="K74" s="408" t="s">
        <v>51</v>
      </c>
      <c r="L74" s="409"/>
      <c r="M74" s="410"/>
      <c r="N74" s="165">
        <f>N44+N46+N47+N54+N55+N63+N64</f>
        <v>0</v>
      </c>
      <c r="O74" s="39"/>
      <c r="P74" s="29"/>
      <c r="Q74" s="39"/>
      <c r="R74" s="39"/>
      <c r="S74" s="89"/>
      <c r="T74" s="90"/>
      <c r="U74" s="89"/>
      <c r="V74" s="91"/>
    </row>
    <row r="75" spans="1:23" x14ac:dyDescent="0.25">
      <c r="B75" s="163"/>
      <c r="C75" s="411" t="s">
        <v>45</v>
      </c>
      <c r="D75" s="412"/>
      <c r="E75" s="166">
        <f>SUM(E12:E72)</f>
        <v>99000</v>
      </c>
      <c r="F75" s="19"/>
      <c r="G75" s="19">
        <f>SUM(E47:E65)</f>
        <v>0</v>
      </c>
      <c r="H75" s="39"/>
      <c r="I75" s="39"/>
      <c r="J75" s="17"/>
      <c r="K75" s="161"/>
      <c r="L75" s="161"/>
      <c r="M75" s="161"/>
      <c r="N75" s="17"/>
      <c r="O75" s="39"/>
      <c r="P75" s="29"/>
      <c r="Q75" s="39"/>
      <c r="R75" s="39"/>
      <c r="S75" s="89"/>
      <c r="T75" s="90"/>
      <c r="U75" s="89"/>
      <c r="V75" s="91"/>
    </row>
    <row r="76" spans="1:23" x14ac:dyDescent="0.25">
      <c r="B76" s="163"/>
      <c r="C76" s="164"/>
      <c r="D76" s="19"/>
      <c r="E76" s="19"/>
      <c r="F76" s="19"/>
      <c r="G76" s="19"/>
      <c r="H76" s="39"/>
      <c r="I76" s="39"/>
      <c r="J76" s="17"/>
      <c r="K76" s="17"/>
      <c r="L76" s="17"/>
      <c r="M76" s="17"/>
      <c r="N76" s="17"/>
      <c r="O76" s="39"/>
      <c r="P76" s="29"/>
      <c r="Q76" s="39"/>
      <c r="R76" s="39"/>
      <c r="S76" s="89"/>
      <c r="T76" s="90"/>
      <c r="U76" s="89"/>
      <c r="V76" s="91"/>
    </row>
    <row r="77" spans="1:23" x14ac:dyDescent="0.25">
      <c r="B77" s="163"/>
      <c r="C77" s="164"/>
      <c r="D77" s="167">
        <f>E75/C2</f>
        <v>1.0500302281429315</v>
      </c>
      <c r="E77" s="168" t="s">
        <v>46</v>
      </c>
      <c r="F77" s="19"/>
      <c r="G77" s="19"/>
      <c r="H77" s="39"/>
      <c r="I77" s="39"/>
      <c r="J77" s="17"/>
      <c r="K77" s="17"/>
      <c r="L77" s="17"/>
      <c r="M77" s="17"/>
      <c r="N77" s="17"/>
      <c r="O77" s="39"/>
      <c r="P77" s="29"/>
      <c r="Q77" s="39"/>
      <c r="R77" s="39"/>
      <c r="S77" s="89"/>
      <c r="T77" s="90"/>
      <c r="U77" s="89"/>
      <c r="V77" s="91"/>
    </row>
    <row r="78" spans="1:23" x14ac:dyDescent="0.25">
      <c r="B78" s="163"/>
      <c r="C78" s="164"/>
      <c r="D78" s="19"/>
      <c r="E78" s="19"/>
      <c r="F78" s="19"/>
      <c r="G78" s="19"/>
      <c r="H78" s="39"/>
      <c r="I78" s="39"/>
      <c r="J78" s="17"/>
      <c r="K78" s="17"/>
      <c r="L78" s="17"/>
      <c r="M78" s="17"/>
      <c r="N78" s="17"/>
      <c r="O78" s="39">
        <f>N33+N51</f>
        <v>0</v>
      </c>
      <c r="P78" s="29"/>
      <c r="Q78" s="39"/>
      <c r="R78" s="17"/>
      <c r="S78" s="89"/>
      <c r="T78" s="90"/>
      <c r="U78" s="89"/>
      <c r="V78" s="91"/>
    </row>
  </sheetData>
  <mergeCells count="65">
    <mergeCell ref="B22:C22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6:C4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58:C5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K73:M73"/>
    <mergeCell ref="K74:M74"/>
    <mergeCell ref="C75:D75"/>
  </mergeCells>
  <conditionalFormatting sqref="I13:I72">
    <cfRule type="expression" dxfId="2" priority="1">
      <formula>$I13:$I72&lt;0.001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N78"/>
  <sheetViews>
    <sheetView zoomScale="70" zoomScaleNormal="70" workbookViewId="0">
      <pane ySplit="10" topLeftCell="A11" activePane="bottomLeft" state="frozen"/>
      <selection activeCell="E33" sqref="E32:E33"/>
      <selection pane="bottomLeft" activeCell="E19" sqref="E19"/>
    </sheetView>
  </sheetViews>
  <sheetFormatPr defaultColWidth="14.6953125" defaultRowHeight="22.5" x14ac:dyDescent="0.25"/>
  <cols>
    <col min="1" max="1" width="5.52734375" style="25" customWidth="1"/>
    <col min="2" max="2" width="16.5859375" style="25" customWidth="1"/>
    <col min="3" max="3" width="38.43359375" style="25" customWidth="1"/>
    <col min="4" max="4" width="14.5625" style="57" customWidth="1"/>
    <col min="5" max="5" width="17.6640625" style="57" customWidth="1"/>
    <col min="6" max="6" width="10.11328125" style="57" customWidth="1"/>
    <col min="7" max="7" width="14.5625" style="57" customWidth="1"/>
    <col min="8" max="8" width="14.5625" style="25" customWidth="1"/>
    <col min="9" max="9" width="16.5859375" style="25" customWidth="1"/>
    <col min="10" max="10" width="12.40625" style="25" customWidth="1"/>
    <col min="11" max="11" width="11.59375" style="25" customWidth="1"/>
    <col min="12" max="12" width="12.13671875" style="25" customWidth="1"/>
    <col min="13" max="13" width="11.4609375" style="25" customWidth="1"/>
    <col min="14" max="14" width="17.2578125" style="25" customWidth="1"/>
    <col min="15" max="15" width="16.1796875" style="25" customWidth="1"/>
    <col min="16" max="16" width="8.359375" style="169" customWidth="1"/>
    <col min="17" max="17" width="9.4375" style="25" bestFit="1" customWidth="1"/>
    <col min="18" max="18" width="16.98828125" style="25" customWidth="1"/>
    <col min="19" max="19" width="15.37109375" style="24" bestFit="1" customWidth="1"/>
    <col min="20" max="20" width="12.67578125" style="23" customWidth="1"/>
    <col min="21" max="21" width="15.37109375" style="24" bestFit="1" customWidth="1"/>
    <col min="22" max="22" width="12.5390625" style="23" customWidth="1"/>
    <col min="23" max="23" width="11.59375" style="24" customWidth="1"/>
    <col min="24" max="16384" width="14.6953125" style="25"/>
  </cols>
  <sheetData>
    <row r="1" spans="1:40" x14ac:dyDescent="0.25">
      <c r="A1" s="17" t="s">
        <v>28</v>
      </c>
      <c r="B1" s="17"/>
      <c r="C1" s="18" t="s">
        <v>91</v>
      </c>
      <c r="D1" s="19"/>
      <c r="E1" s="19" t="s">
        <v>0</v>
      </c>
      <c r="F1" s="19"/>
      <c r="G1" s="223" t="s">
        <v>93</v>
      </c>
      <c r="H1" s="19"/>
      <c r="I1" s="19"/>
      <c r="J1" s="17"/>
      <c r="K1" s="17"/>
      <c r="L1" s="17"/>
      <c r="M1" s="17"/>
      <c r="N1" s="17"/>
      <c r="O1" s="17"/>
      <c r="P1" s="20"/>
      <c r="Q1" s="17"/>
      <c r="R1" s="17"/>
      <c r="S1" s="21"/>
      <c r="T1" s="22"/>
      <c r="U1" s="21"/>
    </row>
    <row r="2" spans="1:40" ht="21.2" customHeight="1" x14ac:dyDescent="0.25">
      <c r="A2" s="17" t="s">
        <v>29</v>
      </c>
      <c r="B2" s="17"/>
      <c r="C2" s="40">
        <v>46105</v>
      </c>
      <c r="D2" s="19"/>
      <c r="E2" s="19"/>
      <c r="F2" s="19"/>
      <c r="G2" s="26" t="s">
        <v>30</v>
      </c>
      <c r="H2" s="27">
        <f>(C2*0.325)</f>
        <v>14984.125</v>
      </c>
      <c r="I2" s="28" t="s">
        <v>31</v>
      </c>
      <c r="J2" s="17"/>
      <c r="K2" s="17"/>
      <c r="L2" s="17"/>
      <c r="M2" s="17"/>
      <c r="N2" s="17"/>
      <c r="O2" s="17"/>
      <c r="P2" s="29"/>
      <c r="Q2" s="17"/>
      <c r="R2" s="29"/>
      <c r="S2" s="21"/>
      <c r="T2" s="22"/>
      <c r="U2" s="21"/>
    </row>
    <row r="3" spans="1:40" ht="22.15" customHeight="1" x14ac:dyDescent="0.25">
      <c r="A3" s="17" t="s">
        <v>32</v>
      </c>
      <c r="B3" s="17"/>
      <c r="C3" s="30">
        <v>46105</v>
      </c>
      <c r="D3" s="19"/>
      <c r="E3" s="19"/>
      <c r="F3" s="19"/>
      <c r="G3" s="31" t="s">
        <v>4</v>
      </c>
      <c r="H3" s="32">
        <f>(C2*1.15)</f>
        <v>53020.749999999993</v>
      </c>
      <c r="I3" s="32" t="s">
        <v>31</v>
      </c>
      <c r="J3" s="413"/>
      <c r="K3" s="414"/>
      <c r="L3" s="414"/>
      <c r="M3" s="415"/>
      <c r="N3" s="33" t="s">
        <v>66</v>
      </c>
      <c r="O3" s="17"/>
      <c r="P3" s="29"/>
      <c r="Q3" s="17"/>
      <c r="R3" s="29"/>
      <c r="S3" s="21"/>
      <c r="T3" s="22"/>
      <c r="U3" s="21"/>
    </row>
    <row r="4" spans="1:40" ht="19.899999999999999" customHeight="1" x14ac:dyDescent="0.25">
      <c r="A4" s="17"/>
      <c r="B4" s="33" t="s">
        <v>66</v>
      </c>
      <c r="C4" s="34">
        <v>46900</v>
      </c>
      <c r="D4" s="35"/>
      <c r="E4" s="19"/>
      <c r="F4" s="19"/>
      <c r="G4" s="36" t="s">
        <v>11</v>
      </c>
      <c r="H4" s="37">
        <f>(C2*1.7)</f>
        <v>78378.5</v>
      </c>
      <c r="I4" s="37" t="s">
        <v>31</v>
      </c>
      <c r="J4" s="416" t="s">
        <v>58</v>
      </c>
      <c r="K4" s="417"/>
      <c r="L4" s="417"/>
      <c r="M4" s="418"/>
      <c r="N4" s="33" t="s">
        <v>74</v>
      </c>
      <c r="O4" s="17"/>
      <c r="P4" s="29"/>
      <c r="Q4" s="17"/>
      <c r="R4" s="17"/>
      <c r="S4" s="21"/>
      <c r="T4" s="22"/>
      <c r="U4" s="21"/>
    </row>
    <row r="5" spans="1:40" ht="19.149999999999999" customHeight="1" x14ac:dyDescent="0.25">
      <c r="A5" s="17"/>
      <c r="B5" s="33" t="s">
        <v>74</v>
      </c>
      <c r="C5" s="34">
        <v>46979</v>
      </c>
      <c r="D5" s="35"/>
      <c r="E5" s="19"/>
      <c r="F5" s="19"/>
      <c r="G5" s="19" t="s">
        <v>33</v>
      </c>
      <c r="H5" s="17">
        <f>C2*1.5</f>
        <v>69157.5</v>
      </c>
      <c r="I5" s="38" t="s">
        <v>31</v>
      </c>
      <c r="J5" s="17"/>
      <c r="K5" s="17"/>
      <c r="L5" s="17"/>
      <c r="M5" s="17"/>
      <c r="N5" s="39"/>
      <c r="O5" s="39"/>
      <c r="P5" s="29"/>
      <c r="Q5" s="39"/>
      <c r="R5" s="29"/>
      <c r="S5" s="21"/>
      <c r="T5" s="22"/>
      <c r="U5" s="21"/>
    </row>
    <row r="6" spans="1:40" ht="38.25" customHeight="1" x14ac:dyDescent="0.25">
      <c r="A6" s="17"/>
      <c r="B6" s="17"/>
      <c r="C6" s="40"/>
      <c r="D6" s="35"/>
      <c r="E6" s="19"/>
      <c r="F6" s="19"/>
      <c r="G6" s="19"/>
      <c r="H6" s="17"/>
      <c r="I6" s="41"/>
      <c r="J6" s="17"/>
      <c r="K6" s="17"/>
      <c r="L6" s="17"/>
      <c r="M6" s="17"/>
      <c r="N6" s="39"/>
      <c r="O6" s="39"/>
      <c r="P6" s="29"/>
      <c r="Q6" s="42"/>
      <c r="R6" s="43" t="s">
        <v>54</v>
      </c>
      <c r="S6" s="44" t="s">
        <v>56</v>
      </c>
      <c r="T6" s="45"/>
      <c r="U6" s="44" t="s">
        <v>56</v>
      </c>
      <c r="V6" s="45"/>
    </row>
    <row r="7" spans="1:40" x14ac:dyDescent="0.25">
      <c r="A7" s="17"/>
      <c r="B7" s="17"/>
      <c r="C7" s="17"/>
      <c r="D7" s="19" t="s">
        <v>26</v>
      </c>
      <c r="E7" s="19"/>
      <c r="F7" s="19"/>
      <c r="G7" s="19"/>
      <c r="H7" s="17"/>
      <c r="I7" s="17"/>
      <c r="J7" s="17"/>
      <c r="K7" s="19"/>
      <c r="L7" s="19"/>
      <c r="M7" s="19"/>
      <c r="N7" s="39"/>
      <c r="O7" s="39"/>
      <c r="P7" s="29"/>
      <c r="Q7" s="46" t="s">
        <v>18</v>
      </c>
      <c r="R7" s="43" t="s">
        <v>18</v>
      </c>
      <c r="S7" s="44" t="s">
        <v>57</v>
      </c>
      <c r="T7" s="45"/>
      <c r="U7" s="47" t="s">
        <v>57</v>
      </c>
      <c r="V7" s="45"/>
    </row>
    <row r="8" spans="1:40" s="57" customFormat="1" ht="42.75" thickBot="1" x14ac:dyDescent="0.3">
      <c r="A8" s="48" t="s">
        <v>15</v>
      </c>
      <c r="B8" s="48" t="s">
        <v>16</v>
      </c>
      <c r="C8" s="48" t="s">
        <v>17</v>
      </c>
      <c r="D8" s="48" t="s">
        <v>18</v>
      </c>
      <c r="E8" s="48" t="s">
        <v>34</v>
      </c>
      <c r="F8" s="48"/>
      <c r="G8" s="48" t="s">
        <v>18</v>
      </c>
      <c r="H8" s="48" t="s">
        <v>18</v>
      </c>
      <c r="I8" s="48" t="s">
        <v>18</v>
      </c>
      <c r="J8" s="48" t="s">
        <v>19</v>
      </c>
      <c r="K8" s="49" t="s">
        <v>19</v>
      </c>
      <c r="L8" s="49" t="s">
        <v>19</v>
      </c>
      <c r="M8" s="49" t="s">
        <v>19</v>
      </c>
      <c r="N8" s="48" t="s">
        <v>21</v>
      </c>
      <c r="O8" s="48" t="s">
        <v>22</v>
      </c>
      <c r="P8" s="50" t="s">
        <v>0</v>
      </c>
      <c r="Q8" s="51" t="s">
        <v>52</v>
      </c>
      <c r="R8" s="52" t="s">
        <v>55</v>
      </c>
      <c r="S8" s="53" t="s">
        <v>62</v>
      </c>
      <c r="T8" s="54" t="s">
        <v>59</v>
      </c>
      <c r="U8" s="55" t="s">
        <v>63</v>
      </c>
      <c r="V8" s="54" t="s">
        <v>59</v>
      </c>
      <c r="W8" s="24"/>
      <c r="X8" s="56"/>
      <c r="AA8" s="56"/>
      <c r="AB8" s="58"/>
      <c r="AD8" s="56"/>
      <c r="AE8" s="58"/>
      <c r="AF8" s="59"/>
      <c r="AG8" s="56"/>
      <c r="AH8" s="59"/>
      <c r="AI8" s="56"/>
      <c r="AJ8" s="59"/>
      <c r="AK8" s="59"/>
      <c r="AL8" s="59"/>
    </row>
    <row r="9" spans="1:40" s="73" customFormat="1" ht="21.2" customHeight="1" thickBot="1" x14ac:dyDescent="0.3">
      <c r="A9" s="60"/>
      <c r="B9" s="61"/>
      <c r="C9" s="62">
        <v>43297</v>
      </c>
      <c r="D9" s="61" t="s">
        <v>35</v>
      </c>
      <c r="E9" s="61" t="s">
        <v>36</v>
      </c>
      <c r="F9" s="61" t="s">
        <v>19</v>
      </c>
      <c r="G9" s="61" t="s">
        <v>23</v>
      </c>
      <c r="H9" s="61" t="s">
        <v>24</v>
      </c>
      <c r="I9" s="61" t="s">
        <v>25</v>
      </c>
      <c r="J9" s="61" t="s">
        <v>26</v>
      </c>
      <c r="K9" s="228" t="s">
        <v>37</v>
      </c>
      <c r="L9" s="61" t="s">
        <v>38</v>
      </c>
      <c r="M9" s="61" t="s">
        <v>39</v>
      </c>
      <c r="N9" s="63" t="s">
        <v>49</v>
      </c>
      <c r="O9" s="64" t="s">
        <v>27</v>
      </c>
      <c r="P9" s="65" t="s">
        <v>53</v>
      </c>
      <c r="Q9" s="66"/>
      <c r="R9" s="67"/>
      <c r="S9" s="68"/>
      <c r="T9" s="69"/>
      <c r="U9" s="68"/>
      <c r="V9" s="70"/>
      <c r="W9" s="71" t="s">
        <v>15</v>
      </c>
      <c r="X9" s="72"/>
      <c r="AA9" s="72"/>
      <c r="AB9" s="74"/>
      <c r="AD9" s="72"/>
      <c r="AE9" s="74"/>
      <c r="AF9" s="75"/>
      <c r="AG9" s="72"/>
      <c r="AH9" s="75"/>
      <c r="AI9" s="72"/>
      <c r="AJ9" s="75"/>
      <c r="AK9" s="75"/>
      <c r="AL9" s="75"/>
    </row>
    <row r="10" spans="1:40" s="83" customFormat="1" ht="15" hidden="1" customHeight="1" x14ac:dyDescent="0.25">
      <c r="A10" s="76"/>
      <c r="B10" s="77"/>
      <c r="C10" s="77"/>
      <c r="D10" s="78"/>
      <c r="E10" s="78"/>
      <c r="F10" s="78"/>
      <c r="G10" s="78"/>
      <c r="H10" s="77"/>
      <c r="I10" s="77"/>
      <c r="J10" s="77"/>
      <c r="K10" s="79"/>
      <c r="L10" s="79"/>
      <c r="M10" s="79"/>
      <c r="N10" s="66"/>
      <c r="O10" s="66"/>
      <c r="P10" s="67"/>
      <c r="Q10" s="39"/>
      <c r="R10" s="29"/>
      <c r="S10" s="80"/>
      <c r="T10" s="22"/>
      <c r="U10" s="80"/>
      <c r="V10" s="81"/>
      <c r="W10" s="82"/>
    </row>
    <row r="11" spans="1:40" x14ac:dyDescent="0.25">
      <c r="B11" s="17"/>
      <c r="C11" s="84"/>
      <c r="D11" s="19"/>
      <c r="E11" s="85"/>
      <c r="F11" s="85"/>
      <c r="G11" s="85"/>
      <c r="H11" s="17"/>
      <c r="I11" s="225"/>
      <c r="J11" s="20"/>
      <c r="K11" s="86"/>
      <c r="L11" s="87"/>
      <c r="M11" s="88"/>
      <c r="N11" s="39"/>
      <c r="O11" s="39"/>
      <c r="P11" s="29"/>
      <c r="Q11" s="39"/>
      <c r="R11" s="29"/>
      <c r="S11" s="89"/>
      <c r="T11" s="90"/>
      <c r="U11" s="89"/>
      <c r="V11" s="91"/>
      <c r="W11" s="92"/>
      <c r="X11" s="93"/>
      <c r="Y11" s="94"/>
      <c r="Z11" s="94"/>
      <c r="AA11" s="93"/>
      <c r="AB11" s="94"/>
      <c r="AC11" s="94"/>
      <c r="AD11" s="93"/>
      <c r="AE11" s="94"/>
      <c r="AF11" s="95"/>
      <c r="AG11" s="93"/>
      <c r="AH11" s="95"/>
      <c r="AI11" s="93"/>
      <c r="AJ11" s="95"/>
      <c r="AK11" s="93"/>
      <c r="AL11" s="96"/>
      <c r="AM11" s="95"/>
      <c r="AN11" s="95"/>
    </row>
    <row r="12" spans="1:40" x14ac:dyDescent="0.25">
      <c r="B12" s="97"/>
      <c r="C12" s="98"/>
      <c r="D12" s="99"/>
      <c r="E12" s="100"/>
      <c r="F12" s="100"/>
      <c r="G12" s="101">
        <f>H2</f>
        <v>14984.125</v>
      </c>
      <c r="H12" s="97">
        <v>0</v>
      </c>
      <c r="I12" s="225">
        <f t="shared" ref="I12:I72" si="0">IF((J12&gt;0),(J12-H12+E12),(I11-H12+E12))</f>
        <v>0</v>
      </c>
      <c r="J12" s="103">
        <f>(K12+M12+L12)</f>
        <v>0</v>
      </c>
      <c r="K12" s="104"/>
      <c r="L12" s="105"/>
      <c r="M12" s="106"/>
      <c r="N12" s="102"/>
      <c r="O12" s="102"/>
      <c r="P12" s="107"/>
      <c r="Q12" s="102"/>
      <c r="R12" s="107"/>
      <c r="S12" s="108"/>
      <c r="T12" s="109"/>
      <c r="U12" s="108"/>
      <c r="V12" s="91"/>
      <c r="W12" s="92"/>
      <c r="X12" s="93"/>
      <c r="Y12" s="94"/>
      <c r="Z12" s="94"/>
      <c r="AA12" s="93"/>
      <c r="AB12" s="94"/>
      <c r="AC12" s="94"/>
      <c r="AD12" s="93"/>
      <c r="AE12" s="94"/>
      <c r="AF12" s="95"/>
      <c r="AG12" s="93"/>
      <c r="AH12" s="95"/>
      <c r="AI12" s="93"/>
      <c r="AJ12" s="95"/>
      <c r="AK12" s="93"/>
      <c r="AL12" s="96"/>
      <c r="AM12" s="95"/>
      <c r="AN12" s="95"/>
    </row>
    <row r="13" spans="1:40" x14ac:dyDescent="0.25">
      <c r="A13" s="25">
        <v>1</v>
      </c>
      <c r="B13" s="401">
        <f>C3</f>
        <v>46105</v>
      </c>
      <c r="C13" s="402"/>
      <c r="D13" s="110">
        <f>E13</f>
        <v>29000</v>
      </c>
      <c r="E13" s="268">
        <v>29000</v>
      </c>
      <c r="F13" s="268" t="s">
        <v>95</v>
      </c>
      <c r="G13" s="111">
        <f t="shared" ref="G13:G21" si="1">G12-E13</f>
        <v>-14015.875</v>
      </c>
      <c r="H13" s="102">
        <f>('Consumption Guide'!G8*O13)/1000</f>
        <v>1014.31</v>
      </c>
      <c r="I13" s="225">
        <f t="shared" si="0"/>
        <v>27985.69</v>
      </c>
      <c r="J13" s="103">
        <f>(K13+M13+L13)</f>
        <v>0</v>
      </c>
      <c r="K13" s="104"/>
      <c r="L13" s="116"/>
      <c r="M13" s="275"/>
      <c r="N13" s="112"/>
      <c r="O13" s="102">
        <f>SUM(C2-N13)</f>
        <v>46105</v>
      </c>
      <c r="P13" s="107"/>
      <c r="Q13" s="102"/>
      <c r="R13" s="107"/>
      <c r="S13" s="108"/>
      <c r="T13" s="109"/>
      <c r="U13" s="108"/>
      <c r="V13" s="91"/>
      <c r="W13" s="92"/>
      <c r="X13" s="93"/>
      <c r="Y13" s="94"/>
      <c r="Z13" s="94"/>
      <c r="AA13" s="93"/>
      <c r="AB13" s="94"/>
      <c r="AC13" s="94"/>
      <c r="AD13" s="93"/>
      <c r="AE13" s="94"/>
      <c r="AF13" s="95"/>
      <c r="AG13" s="93"/>
      <c r="AH13" s="95"/>
      <c r="AI13" s="93"/>
      <c r="AJ13" s="95"/>
      <c r="AK13" s="93"/>
      <c r="AL13" s="96"/>
      <c r="AM13" s="95"/>
      <c r="AN13" s="95"/>
    </row>
    <row r="14" spans="1:40" x14ac:dyDescent="0.25">
      <c r="A14" s="25">
        <f>A13+1</f>
        <v>2</v>
      </c>
      <c r="B14" s="401">
        <f>B13+1</f>
        <v>46106</v>
      </c>
      <c r="C14" s="402"/>
      <c r="D14" s="110">
        <f t="shared" ref="D14:D72" si="2">D13+E14</f>
        <v>41000</v>
      </c>
      <c r="E14" s="114">
        <v>12000</v>
      </c>
      <c r="F14" s="114"/>
      <c r="G14" s="111">
        <f t="shared" si="1"/>
        <v>-26015.875</v>
      </c>
      <c r="H14" s="102">
        <f>('Consumption Guide'!G9*O14)/1000</f>
        <v>1106.52</v>
      </c>
      <c r="I14" s="225">
        <f t="shared" si="0"/>
        <v>44893.48</v>
      </c>
      <c r="J14" s="103">
        <f>(K14+M14+L14)</f>
        <v>34000</v>
      </c>
      <c r="K14" s="104">
        <v>20000</v>
      </c>
      <c r="L14" s="116">
        <v>14000</v>
      </c>
      <c r="M14" s="119"/>
      <c r="N14" s="112"/>
      <c r="O14" s="102">
        <f t="shared" ref="O14:O45" si="3">SUM(O13-N14)</f>
        <v>46105</v>
      </c>
      <c r="P14" s="107"/>
      <c r="Q14" s="102"/>
      <c r="R14" s="107">
        <f>Q14+R13</f>
        <v>0</v>
      </c>
      <c r="S14" s="108"/>
      <c r="T14" s="109"/>
      <c r="U14" s="108"/>
      <c r="V14" s="91"/>
      <c r="W14" s="92"/>
      <c r="X14" s="93"/>
      <c r="Y14" s="94"/>
      <c r="Z14" s="94"/>
      <c r="AA14" s="93"/>
      <c r="AB14" s="94"/>
      <c r="AC14" s="94"/>
      <c r="AD14" s="93"/>
      <c r="AE14" s="94"/>
      <c r="AF14" s="95"/>
      <c r="AG14" s="93"/>
      <c r="AH14" s="95"/>
      <c r="AI14" s="93"/>
      <c r="AJ14" s="95"/>
      <c r="AK14" s="93"/>
      <c r="AL14" s="96"/>
      <c r="AM14" s="95"/>
      <c r="AN14" s="95"/>
    </row>
    <row r="15" spans="1:40" x14ac:dyDescent="0.25">
      <c r="A15" s="25">
        <f t="shared" ref="A15:B30" si="4">A14+1</f>
        <v>3</v>
      </c>
      <c r="B15" s="401">
        <f t="shared" si="4"/>
        <v>46107</v>
      </c>
      <c r="C15" s="402"/>
      <c r="D15" s="110">
        <f t="shared" si="2"/>
        <v>41000</v>
      </c>
      <c r="E15" s="114"/>
      <c r="F15" s="114"/>
      <c r="G15" s="111">
        <f t="shared" si="1"/>
        <v>-26015.875</v>
      </c>
      <c r="H15" s="102">
        <f>('Consumption Guide'!G10*O15)/1000</f>
        <v>1198.73</v>
      </c>
      <c r="I15" s="225">
        <f t="shared" si="0"/>
        <v>22801.27</v>
      </c>
      <c r="J15" s="103">
        <f t="shared" ref="J15:J72" si="5">(K15+M15+L15)</f>
        <v>24000</v>
      </c>
      <c r="K15" s="104">
        <v>12000</v>
      </c>
      <c r="L15" s="116">
        <v>12000</v>
      </c>
      <c r="M15" s="106"/>
      <c r="N15" s="112"/>
      <c r="O15" s="113">
        <f t="shared" si="3"/>
        <v>46105</v>
      </c>
      <c r="P15" s="107"/>
      <c r="Q15" s="102"/>
      <c r="R15" s="107">
        <f t="shared" ref="R15:R72" si="6">Q15+R14</f>
        <v>0</v>
      </c>
      <c r="S15" s="108"/>
      <c r="T15" s="109"/>
      <c r="U15" s="108"/>
      <c r="V15" s="91"/>
      <c r="W15" s="92"/>
      <c r="X15" s="93"/>
      <c r="Y15" s="94"/>
      <c r="Z15" s="94"/>
      <c r="AA15" s="93"/>
      <c r="AB15" s="94"/>
      <c r="AC15" s="94"/>
      <c r="AD15" s="93"/>
      <c r="AE15" s="94"/>
      <c r="AF15" s="95"/>
      <c r="AG15" s="93"/>
      <c r="AH15" s="95"/>
      <c r="AI15" s="93"/>
      <c r="AJ15" s="95"/>
      <c r="AK15" s="93"/>
      <c r="AL15" s="96"/>
      <c r="AM15" s="95"/>
      <c r="AN15" s="95"/>
    </row>
    <row r="16" spans="1:40" x14ac:dyDescent="0.25">
      <c r="A16" s="25">
        <f t="shared" si="4"/>
        <v>4</v>
      </c>
      <c r="B16" s="401">
        <f t="shared" si="4"/>
        <v>46108</v>
      </c>
      <c r="C16" s="402"/>
      <c r="D16" s="110">
        <f t="shared" si="2"/>
        <v>41000</v>
      </c>
      <c r="E16" s="114"/>
      <c r="F16" s="114"/>
      <c r="G16" s="111">
        <f t="shared" si="1"/>
        <v>-26015.875</v>
      </c>
      <c r="H16" s="102">
        <f>('Consumption Guide'!G11*O16)/1000</f>
        <v>1290.94</v>
      </c>
      <c r="I16" s="225">
        <f t="shared" si="0"/>
        <v>34709.06</v>
      </c>
      <c r="J16" s="103">
        <f t="shared" si="5"/>
        <v>36000</v>
      </c>
      <c r="K16" s="104">
        <v>12000</v>
      </c>
      <c r="L16" s="116">
        <v>12000</v>
      </c>
      <c r="M16" s="119">
        <v>12000</v>
      </c>
      <c r="N16" s="112"/>
      <c r="O16" s="113">
        <f t="shared" si="3"/>
        <v>46105</v>
      </c>
      <c r="P16" s="107"/>
      <c r="Q16" s="102"/>
      <c r="R16" s="107">
        <f t="shared" si="6"/>
        <v>0</v>
      </c>
      <c r="S16" s="108"/>
      <c r="T16" s="109"/>
      <c r="U16" s="108"/>
      <c r="V16" s="91"/>
      <c r="W16" s="92"/>
    </row>
    <row r="17" spans="1:40" x14ac:dyDescent="0.25">
      <c r="A17" s="25">
        <f t="shared" si="4"/>
        <v>5</v>
      </c>
      <c r="B17" s="401">
        <f t="shared" si="4"/>
        <v>46109</v>
      </c>
      <c r="C17" s="402"/>
      <c r="D17" s="110">
        <f t="shared" si="2"/>
        <v>41000</v>
      </c>
      <c r="E17" s="114"/>
      <c r="F17" s="114"/>
      <c r="G17" s="111">
        <f t="shared" si="1"/>
        <v>-26015.875</v>
      </c>
      <c r="H17" s="102">
        <f>('Consumption Guide'!G12*O17)/1000</f>
        <v>1383.15</v>
      </c>
      <c r="I17" s="225">
        <f t="shared" si="0"/>
        <v>33325.909999999996</v>
      </c>
      <c r="J17" s="103">
        <f t="shared" si="5"/>
        <v>0</v>
      </c>
      <c r="K17" s="104"/>
      <c r="L17" s="116"/>
      <c r="M17" s="119"/>
      <c r="N17" s="112"/>
      <c r="O17" s="113">
        <f t="shared" si="3"/>
        <v>46105</v>
      </c>
      <c r="P17" s="107"/>
      <c r="Q17" s="102"/>
      <c r="R17" s="107">
        <f>Q17+R16</f>
        <v>0</v>
      </c>
      <c r="S17" s="108"/>
      <c r="T17" s="109"/>
      <c r="U17" s="108"/>
      <c r="V17" s="91"/>
      <c r="W17" s="92"/>
    </row>
    <row r="18" spans="1:40" x14ac:dyDescent="0.25">
      <c r="A18" s="25">
        <f t="shared" si="4"/>
        <v>6</v>
      </c>
      <c r="B18" s="401">
        <f t="shared" si="4"/>
        <v>46110</v>
      </c>
      <c r="C18" s="402"/>
      <c r="D18" s="110">
        <f t="shared" si="2"/>
        <v>53000</v>
      </c>
      <c r="E18" s="114">
        <v>12000</v>
      </c>
      <c r="F18" s="114"/>
      <c r="G18" s="111">
        <f t="shared" si="1"/>
        <v>-38015.875</v>
      </c>
      <c r="H18" s="102">
        <f>('Consumption Guide'!G13*O18)/1000</f>
        <v>1475.36</v>
      </c>
      <c r="I18" s="225">
        <f t="shared" si="0"/>
        <v>43850.549999999996</v>
      </c>
      <c r="J18" s="103">
        <f t="shared" si="5"/>
        <v>0</v>
      </c>
      <c r="K18" s="104"/>
      <c r="L18" s="97"/>
      <c r="M18" s="121"/>
      <c r="N18" s="112"/>
      <c r="O18" s="113">
        <f t="shared" si="3"/>
        <v>46105</v>
      </c>
      <c r="P18" s="107"/>
      <c r="Q18" s="102"/>
      <c r="R18" s="107">
        <f t="shared" si="6"/>
        <v>0</v>
      </c>
      <c r="S18" s="108"/>
      <c r="T18" s="109"/>
      <c r="U18" s="108"/>
      <c r="V18" s="91"/>
      <c r="W18" s="92"/>
    </row>
    <row r="19" spans="1:40" x14ac:dyDescent="0.25">
      <c r="A19" s="25">
        <f t="shared" si="4"/>
        <v>7</v>
      </c>
      <c r="B19" s="401">
        <f t="shared" si="4"/>
        <v>46111</v>
      </c>
      <c r="C19" s="402"/>
      <c r="D19" s="110">
        <f t="shared" si="2"/>
        <v>53000</v>
      </c>
      <c r="E19" s="114"/>
      <c r="F19" s="114"/>
      <c r="G19" s="111">
        <f t="shared" si="1"/>
        <v>-38015.875</v>
      </c>
      <c r="H19" s="102">
        <f>('Consumption Guide'!G14*O19)/1000</f>
        <v>1567.57</v>
      </c>
      <c r="I19" s="225">
        <f t="shared" si="0"/>
        <v>30432.43</v>
      </c>
      <c r="J19" s="103">
        <f t="shared" si="5"/>
        <v>32000</v>
      </c>
      <c r="K19" s="104">
        <v>8000</v>
      </c>
      <c r="L19" s="97">
        <v>12000</v>
      </c>
      <c r="M19" s="121">
        <v>12000</v>
      </c>
      <c r="N19" s="112"/>
      <c r="O19" s="113">
        <f t="shared" si="3"/>
        <v>46105</v>
      </c>
      <c r="P19" s="107"/>
      <c r="Q19" s="102"/>
      <c r="R19" s="107">
        <f t="shared" si="6"/>
        <v>0</v>
      </c>
      <c r="S19" s="108"/>
      <c r="T19" s="109"/>
      <c r="U19" s="108"/>
      <c r="V19" s="91"/>
      <c r="W19" s="92"/>
    </row>
    <row r="20" spans="1:40" x14ac:dyDescent="0.25">
      <c r="A20" s="25">
        <v>8</v>
      </c>
      <c r="B20" s="401">
        <f t="shared" si="4"/>
        <v>46112</v>
      </c>
      <c r="C20" s="402"/>
      <c r="D20" s="110">
        <f t="shared" si="2"/>
        <v>53000</v>
      </c>
      <c r="E20" s="114"/>
      <c r="F20" s="114"/>
      <c r="G20" s="111">
        <f t="shared" si="1"/>
        <v>-38015.875</v>
      </c>
      <c r="H20" s="102">
        <f>('Consumption Guide'!G15*O20)/1000</f>
        <v>1659.78</v>
      </c>
      <c r="I20" s="225">
        <f t="shared" si="0"/>
        <v>28772.65</v>
      </c>
      <c r="J20" s="103">
        <f t="shared" si="5"/>
        <v>0</v>
      </c>
      <c r="K20" s="104"/>
      <c r="L20" s="116"/>
      <c r="M20" s="119"/>
      <c r="N20" s="112"/>
      <c r="O20" s="113">
        <f t="shared" si="3"/>
        <v>46105</v>
      </c>
      <c r="P20" s="107"/>
      <c r="Q20" s="102"/>
      <c r="R20" s="107">
        <f t="shared" si="6"/>
        <v>0</v>
      </c>
      <c r="S20" s="108"/>
      <c r="T20" s="109"/>
      <c r="U20" s="108"/>
      <c r="V20" s="91"/>
      <c r="W20" s="92"/>
    </row>
    <row r="21" spans="1:40" x14ac:dyDescent="0.25">
      <c r="A21" s="25">
        <f t="shared" si="4"/>
        <v>9</v>
      </c>
      <c r="B21" s="401">
        <f t="shared" si="4"/>
        <v>46113</v>
      </c>
      <c r="C21" s="402"/>
      <c r="D21" s="110">
        <f t="shared" si="2"/>
        <v>53000</v>
      </c>
      <c r="E21" s="114"/>
      <c r="F21" s="114"/>
      <c r="G21" s="111">
        <f t="shared" si="1"/>
        <v>-38015.875</v>
      </c>
      <c r="H21" s="102">
        <f>('Consumption Guide'!G16*O21)/1000</f>
        <v>1844.2</v>
      </c>
      <c r="I21" s="225">
        <f t="shared" si="0"/>
        <v>26928.45</v>
      </c>
      <c r="J21" s="103">
        <f t="shared" si="5"/>
        <v>0</v>
      </c>
      <c r="K21" s="224"/>
      <c r="L21" s="116"/>
      <c r="M21" s="121"/>
      <c r="N21" s="112"/>
      <c r="O21" s="113">
        <f t="shared" si="3"/>
        <v>46105</v>
      </c>
      <c r="P21" s="107"/>
      <c r="Q21" s="102"/>
      <c r="R21" s="107">
        <f t="shared" si="6"/>
        <v>0</v>
      </c>
      <c r="S21" s="108"/>
      <c r="T21" s="109"/>
      <c r="U21" s="108"/>
      <c r="V21" s="91"/>
      <c r="W21" s="92"/>
    </row>
    <row r="22" spans="1:40" x14ac:dyDescent="0.25">
      <c r="A22" s="25">
        <f t="shared" si="4"/>
        <v>10</v>
      </c>
      <c r="B22" s="401">
        <f t="shared" si="4"/>
        <v>46114</v>
      </c>
      <c r="C22" s="402"/>
      <c r="D22" s="110">
        <f t="shared" si="2"/>
        <v>65000</v>
      </c>
      <c r="E22" s="114">
        <v>12000</v>
      </c>
      <c r="F22" s="114"/>
      <c r="G22" s="115">
        <v>96480</v>
      </c>
      <c r="H22" s="102">
        <f>('Consumption Guide'!G17*O22)/1000</f>
        <v>2074.7249999999999</v>
      </c>
      <c r="I22" s="225">
        <f t="shared" si="0"/>
        <v>36853.725000000006</v>
      </c>
      <c r="J22" s="103">
        <f t="shared" si="5"/>
        <v>0</v>
      </c>
      <c r="K22" s="104"/>
      <c r="L22" s="116"/>
      <c r="M22" s="118"/>
      <c r="N22" s="112"/>
      <c r="O22" s="113">
        <f t="shared" si="3"/>
        <v>46105</v>
      </c>
      <c r="P22" s="107"/>
      <c r="Q22" s="102"/>
      <c r="R22" s="107">
        <f t="shared" si="6"/>
        <v>0</v>
      </c>
      <c r="S22" s="108"/>
      <c r="T22" s="109"/>
      <c r="U22" s="108"/>
      <c r="V22" s="91"/>
      <c r="W22" s="92"/>
      <c r="X22" s="93"/>
      <c r="Y22" s="94"/>
      <c r="Z22" s="94"/>
      <c r="AA22" s="93"/>
      <c r="AB22" s="94"/>
      <c r="AC22" s="94"/>
      <c r="AD22" s="93"/>
      <c r="AE22" s="94"/>
      <c r="AF22" s="95"/>
      <c r="AG22" s="93"/>
      <c r="AH22" s="95"/>
      <c r="AI22" s="93"/>
      <c r="AJ22" s="95"/>
      <c r="AK22" s="93"/>
      <c r="AL22" s="96"/>
      <c r="AM22" s="95"/>
      <c r="AN22" s="95"/>
    </row>
    <row r="23" spans="1:40" x14ac:dyDescent="0.25">
      <c r="A23" s="25">
        <f t="shared" si="4"/>
        <v>11</v>
      </c>
      <c r="B23" s="401">
        <f t="shared" si="4"/>
        <v>46115</v>
      </c>
      <c r="C23" s="402"/>
      <c r="D23" s="110">
        <f t="shared" si="2"/>
        <v>65000</v>
      </c>
      <c r="E23" s="114"/>
      <c r="F23" s="114"/>
      <c r="G23" s="115">
        <f>H3-E23</f>
        <v>53020.749999999993</v>
      </c>
      <c r="H23" s="102">
        <f>('Consumption Guide'!G18*O23)/1000</f>
        <v>2305.25</v>
      </c>
      <c r="I23" s="225">
        <f t="shared" si="0"/>
        <v>34548.475000000006</v>
      </c>
      <c r="J23" s="103">
        <f t="shared" si="5"/>
        <v>0</v>
      </c>
      <c r="K23" s="104"/>
      <c r="L23" s="97"/>
      <c r="M23" s="117"/>
      <c r="N23" s="112"/>
      <c r="O23" s="113">
        <f t="shared" si="3"/>
        <v>46105</v>
      </c>
      <c r="P23" s="107"/>
      <c r="Q23" s="102"/>
      <c r="R23" s="107">
        <f t="shared" si="6"/>
        <v>0</v>
      </c>
      <c r="S23" s="108"/>
      <c r="T23" s="109"/>
      <c r="U23" s="108"/>
      <c r="V23" s="91"/>
      <c r="W23" s="92"/>
    </row>
    <row r="24" spans="1:40" x14ac:dyDescent="0.25">
      <c r="A24" s="25">
        <f t="shared" si="4"/>
        <v>12</v>
      </c>
      <c r="B24" s="401">
        <f t="shared" si="4"/>
        <v>46116</v>
      </c>
      <c r="C24" s="402"/>
      <c r="D24" s="110">
        <f t="shared" si="2"/>
        <v>65000</v>
      </c>
      <c r="E24" s="114"/>
      <c r="F24" s="114"/>
      <c r="G24" s="115">
        <f t="shared" ref="G24:G36" si="7">G23-E24</f>
        <v>53020.749999999993</v>
      </c>
      <c r="H24" s="102">
        <f>('Consumption Guide'!G19*O24)/1000</f>
        <v>2535.7750000000001</v>
      </c>
      <c r="I24" s="225">
        <f t="shared" si="0"/>
        <v>32012.700000000004</v>
      </c>
      <c r="J24" s="103">
        <f t="shared" si="5"/>
        <v>0</v>
      </c>
      <c r="K24" s="104"/>
      <c r="L24" s="97"/>
      <c r="M24" s="117"/>
      <c r="N24" s="112"/>
      <c r="O24" s="113">
        <f t="shared" si="3"/>
        <v>46105</v>
      </c>
      <c r="P24" s="107"/>
      <c r="Q24" s="102"/>
      <c r="R24" s="107">
        <f t="shared" si="6"/>
        <v>0</v>
      </c>
      <c r="S24" s="108"/>
      <c r="T24" s="109"/>
      <c r="U24" s="108"/>
      <c r="V24" s="91"/>
      <c r="W24" s="92"/>
    </row>
    <row r="25" spans="1:40" x14ac:dyDescent="0.25">
      <c r="A25" s="25">
        <f t="shared" si="4"/>
        <v>13</v>
      </c>
      <c r="B25" s="401">
        <f t="shared" si="4"/>
        <v>46117</v>
      </c>
      <c r="C25" s="402"/>
      <c r="D25" s="110">
        <f t="shared" si="2"/>
        <v>87000</v>
      </c>
      <c r="E25" s="114">
        <v>22000</v>
      </c>
      <c r="F25" s="114"/>
      <c r="G25" s="115">
        <f t="shared" si="7"/>
        <v>31020.749999999993</v>
      </c>
      <c r="H25" s="102">
        <f>('Consumption Guide'!G20*O25)/1000</f>
        <v>2766.3</v>
      </c>
      <c r="I25" s="225">
        <f t="shared" si="0"/>
        <v>51246.400000000009</v>
      </c>
      <c r="J25" s="103">
        <f t="shared" si="5"/>
        <v>0</v>
      </c>
      <c r="K25" s="104"/>
      <c r="L25" s="97"/>
      <c r="M25" s="117"/>
      <c r="N25" s="112"/>
      <c r="O25" s="113">
        <f t="shared" si="3"/>
        <v>46105</v>
      </c>
      <c r="P25" s="107"/>
      <c r="Q25" s="102"/>
      <c r="R25" s="107">
        <f t="shared" si="6"/>
        <v>0</v>
      </c>
      <c r="S25" s="108"/>
      <c r="T25" s="109"/>
      <c r="U25" s="108"/>
      <c r="V25" s="91"/>
      <c r="W25" s="92"/>
    </row>
    <row r="26" spans="1:40" x14ac:dyDescent="0.25">
      <c r="A26" s="25">
        <f t="shared" si="4"/>
        <v>14</v>
      </c>
      <c r="B26" s="401">
        <f t="shared" si="4"/>
        <v>46118</v>
      </c>
      <c r="C26" s="402"/>
      <c r="D26" s="110">
        <f t="shared" si="2"/>
        <v>87000</v>
      </c>
      <c r="E26" s="114"/>
      <c r="F26" s="114"/>
      <c r="G26" s="115">
        <f t="shared" si="7"/>
        <v>31020.749999999993</v>
      </c>
      <c r="H26" s="102">
        <f>('Consumption Guide'!G21*O26)/1000</f>
        <v>2996.8249999999998</v>
      </c>
      <c r="I26" s="225">
        <f t="shared" si="0"/>
        <v>48249.575000000012</v>
      </c>
      <c r="J26" s="103">
        <f t="shared" si="5"/>
        <v>0</v>
      </c>
      <c r="K26" s="104"/>
      <c r="L26" s="97"/>
      <c r="M26" s="121"/>
      <c r="N26" s="102"/>
      <c r="O26" s="113">
        <f t="shared" si="3"/>
        <v>46105</v>
      </c>
      <c r="P26" s="107"/>
      <c r="Q26" s="102"/>
      <c r="R26" s="107">
        <f t="shared" si="6"/>
        <v>0</v>
      </c>
      <c r="S26" s="108"/>
      <c r="T26" s="109"/>
      <c r="U26" s="108"/>
      <c r="V26" s="91"/>
      <c r="W26" s="92"/>
    </row>
    <row r="27" spans="1:40" x14ac:dyDescent="0.25">
      <c r="A27" s="25">
        <f t="shared" si="4"/>
        <v>15</v>
      </c>
      <c r="B27" s="401">
        <f t="shared" si="4"/>
        <v>46119</v>
      </c>
      <c r="C27" s="402"/>
      <c r="D27" s="110">
        <f t="shared" si="2"/>
        <v>87000</v>
      </c>
      <c r="E27" s="114"/>
      <c r="F27" s="114"/>
      <c r="G27" s="115">
        <f t="shared" si="7"/>
        <v>31020.749999999993</v>
      </c>
      <c r="H27" s="102">
        <f>('Consumption Guide'!G22*O27)/1000</f>
        <v>3411.77</v>
      </c>
      <c r="I27" s="225">
        <f t="shared" si="0"/>
        <v>44837.805000000015</v>
      </c>
      <c r="J27" s="103">
        <f t="shared" si="5"/>
        <v>0</v>
      </c>
      <c r="K27" s="120"/>
      <c r="L27" s="116"/>
      <c r="M27" s="121"/>
      <c r="N27" s="112"/>
      <c r="O27" s="113">
        <f t="shared" si="3"/>
        <v>46105</v>
      </c>
      <c r="P27" s="107"/>
      <c r="Q27" s="102"/>
      <c r="R27" s="107">
        <f t="shared" si="6"/>
        <v>0</v>
      </c>
      <c r="S27" s="108"/>
      <c r="T27" s="109"/>
      <c r="U27" s="108"/>
      <c r="V27" s="91"/>
      <c r="W27" s="92"/>
    </row>
    <row r="28" spans="1:40" x14ac:dyDescent="0.25">
      <c r="A28" s="25">
        <f t="shared" si="4"/>
        <v>16</v>
      </c>
      <c r="B28" s="401">
        <f t="shared" si="4"/>
        <v>46120</v>
      </c>
      <c r="C28" s="402"/>
      <c r="D28" s="110">
        <f t="shared" si="2"/>
        <v>87000</v>
      </c>
      <c r="E28" s="114"/>
      <c r="F28" s="114"/>
      <c r="G28" s="115">
        <f t="shared" si="7"/>
        <v>31020.749999999993</v>
      </c>
      <c r="H28" s="102">
        <f>('Consumption Guide'!G23*O28)/1000</f>
        <v>3457.875</v>
      </c>
      <c r="I28" s="225">
        <f t="shared" si="0"/>
        <v>41379.930000000015</v>
      </c>
      <c r="J28" s="103">
        <f t="shared" si="5"/>
        <v>0</v>
      </c>
      <c r="K28" s="120"/>
      <c r="L28" s="116"/>
      <c r="M28" s="121"/>
      <c r="N28" s="112"/>
      <c r="O28" s="113">
        <f t="shared" si="3"/>
        <v>46105</v>
      </c>
      <c r="P28" s="107"/>
      <c r="Q28" s="102"/>
      <c r="R28" s="107">
        <f t="shared" si="6"/>
        <v>0</v>
      </c>
      <c r="S28" s="108"/>
      <c r="T28" s="109"/>
      <c r="U28" s="108"/>
      <c r="V28" s="91"/>
      <c r="W28" s="92"/>
    </row>
    <row r="29" spans="1:40" x14ac:dyDescent="0.25">
      <c r="A29" s="25">
        <f t="shared" si="4"/>
        <v>17</v>
      </c>
      <c r="B29" s="401">
        <f t="shared" si="4"/>
        <v>46121</v>
      </c>
      <c r="C29" s="402"/>
      <c r="D29" s="110">
        <f t="shared" si="2"/>
        <v>87000</v>
      </c>
      <c r="E29" s="114"/>
      <c r="F29" s="114"/>
      <c r="G29" s="115">
        <f t="shared" si="7"/>
        <v>31020.749999999993</v>
      </c>
      <c r="H29" s="102">
        <f>('Consumption Guide'!G24*O29)/1000</f>
        <v>3688.4</v>
      </c>
      <c r="I29" s="225">
        <f t="shared" si="0"/>
        <v>37691.530000000013</v>
      </c>
      <c r="J29" s="103">
        <f t="shared" si="5"/>
        <v>0</v>
      </c>
      <c r="K29" s="122"/>
      <c r="L29" s="116"/>
      <c r="M29" s="119"/>
      <c r="N29" s="112"/>
      <c r="O29" s="113">
        <f t="shared" si="3"/>
        <v>46105</v>
      </c>
      <c r="P29" s="107"/>
      <c r="Q29" s="102"/>
      <c r="R29" s="107">
        <f t="shared" si="6"/>
        <v>0</v>
      </c>
      <c r="S29" s="108"/>
      <c r="T29" s="109"/>
      <c r="U29" s="108"/>
      <c r="V29" s="91"/>
      <c r="W29" s="92"/>
    </row>
    <row r="30" spans="1:40" x14ac:dyDescent="0.25">
      <c r="A30" s="25">
        <f t="shared" si="4"/>
        <v>18</v>
      </c>
      <c r="B30" s="401">
        <f t="shared" si="4"/>
        <v>46122</v>
      </c>
      <c r="C30" s="402"/>
      <c r="D30" s="110">
        <f t="shared" si="2"/>
        <v>87000</v>
      </c>
      <c r="E30" s="114"/>
      <c r="F30" s="114"/>
      <c r="G30" s="115">
        <f t="shared" si="7"/>
        <v>31020.749999999993</v>
      </c>
      <c r="H30" s="102">
        <f>('Consumption Guide'!G25*O30)/1000</f>
        <v>4011.1350000000002</v>
      </c>
      <c r="I30" s="225">
        <f t="shared" si="0"/>
        <v>33680.395000000011</v>
      </c>
      <c r="J30" s="103">
        <f>(K30+M30+L30)</f>
        <v>0</v>
      </c>
      <c r="K30" s="122"/>
      <c r="L30" s="97"/>
      <c r="M30" s="121"/>
      <c r="N30" s="112"/>
      <c r="O30" s="113">
        <f t="shared" si="3"/>
        <v>46105</v>
      </c>
      <c r="P30" s="107"/>
      <c r="Q30" s="102"/>
      <c r="R30" s="107">
        <f t="shared" si="6"/>
        <v>0</v>
      </c>
      <c r="S30" s="108"/>
      <c r="T30" s="109"/>
      <c r="U30" s="108"/>
      <c r="V30" s="91"/>
      <c r="W30" s="92"/>
    </row>
    <row r="31" spans="1:40" x14ac:dyDescent="0.25">
      <c r="A31" s="25">
        <f t="shared" ref="A31:B46" si="8">A30+1</f>
        <v>19</v>
      </c>
      <c r="B31" s="401">
        <f t="shared" si="8"/>
        <v>46123</v>
      </c>
      <c r="C31" s="402"/>
      <c r="D31" s="110">
        <f t="shared" si="2"/>
        <v>87000</v>
      </c>
      <c r="E31" s="114"/>
      <c r="F31" s="114"/>
      <c r="G31" s="115">
        <f t="shared" si="7"/>
        <v>31020.749999999993</v>
      </c>
      <c r="H31" s="102">
        <f>('Consumption Guide'!G26*O31)/1000</f>
        <v>4287.7650000000003</v>
      </c>
      <c r="I31" s="225">
        <f t="shared" si="0"/>
        <v>29392.630000000012</v>
      </c>
      <c r="J31" s="103">
        <f>(K31+M31+L31)</f>
        <v>0</v>
      </c>
      <c r="K31" s="122"/>
      <c r="L31" s="97"/>
      <c r="M31" s="121"/>
      <c r="N31" s="112"/>
      <c r="O31" s="113">
        <f t="shared" si="3"/>
        <v>46105</v>
      </c>
      <c r="P31" s="107"/>
      <c r="Q31" s="102"/>
      <c r="R31" s="107">
        <f t="shared" si="6"/>
        <v>0</v>
      </c>
      <c r="S31" s="108"/>
      <c r="T31" s="109"/>
      <c r="U31" s="108"/>
      <c r="V31" s="91"/>
      <c r="W31" s="92"/>
    </row>
    <row r="32" spans="1:40" x14ac:dyDescent="0.25">
      <c r="A32" s="25">
        <f t="shared" si="8"/>
        <v>20</v>
      </c>
      <c r="B32" s="401">
        <f t="shared" si="8"/>
        <v>46124</v>
      </c>
      <c r="C32" s="402"/>
      <c r="D32" s="110">
        <f t="shared" si="2"/>
        <v>87000</v>
      </c>
      <c r="E32" s="16"/>
      <c r="F32" s="276"/>
      <c r="G32" s="115">
        <f t="shared" si="7"/>
        <v>31020.749999999993</v>
      </c>
      <c r="H32" s="102">
        <f>('Consumption Guide'!G27*O32)/1000</f>
        <v>4472.1850000000004</v>
      </c>
      <c r="I32" s="225">
        <f t="shared" si="0"/>
        <v>24920.445000000011</v>
      </c>
      <c r="J32" s="103">
        <f>(K32+M32+L32)</f>
        <v>0</v>
      </c>
      <c r="K32" s="122"/>
      <c r="L32" s="116"/>
      <c r="M32" s="121"/>
      <c r="N32" s="112"/>
      <c r="O32" s="113">
        <f t="shared" si="3"/>
        <v>46105</v>
      </c>
      <c r="P32" s="107"/>
      <c r="Q32" s="102"/>
      <c r="R32" s="107">
        <f t="shared" si="6"/>
        <v>0</v>
      </c>
      <c r="S32" s="108"/>
      <c r="T32" s="109"/>
      <c r="U32" s="108"/>
      <c r="V32" s="91"/>
      <c r="W32" s="92"/>
    </row>
    <row r="33" spans="1:23" x14ac:dyDescent="0.25">
      <c r="A33" s="25">
        <f t="shared" si="8"/>
        <v>21</v>
      </c>
      <c r="B33" s="401">
        <f t="shared" si="8"/>
        <v>46125</v>
      </c>
      <c r="C33" s="402"/>
      <c r="D33" s="110">
        <f t="shared" si="2"/>
        <v>87000</v>
      </c>
      <c r="E33" s="16"/>
      <c r="F33" s="114"/>
      <c r="G33" s="115">
        <f t="shared" si="7"/>
        <v>31020.749999999993</v>
      </c>
      <c r="H33" s="102">
        <f>('Consumption Guide'!G28*O33)/1000</f>
        <v>4748.8149999999996</v>
      </c>
      <c r="I33" s="225">
        <f t="shared" si="0"/>
        <v>20171.630000000012</v>
      </c>
      <c r="J33" s="103">
        <f>(K33+M33+L33)</f>
        <v>0</v>
      </c>
      <c r="K33" s="122"/>
      <c r="L33" s="97"/>
      <c r="M33" s="121"/>
      <c r="N33" s="112"/>
      <c r="O33" s="113">
        <f t="shared" si="3"/>
        <v>46105</v>
      </c>
      <c r="P33" s="107"/>
      <c r="Q33" s="102"/>
      <c r="R33" s="107">
        <f t="shared" si="6"/>
        <v>0</v>
      </c>
      <c r="S33" s="108"/>
      <c r="T33" s="109"/>
      <c r="U33" s="108"/>
      <c r="V33" s="91"/>
      <c r="W33" s="92"/>
    </row>
    <row r="34" spans="1:23" x14ac:dyDescent="0.25">
      <c r="A34" s="25">
        <f t="shared" si="8"/>
        <v>22</v>
      </c>
      <c r="B34" s="401">
        <f t="shared" si="8"/>
        <v>46126</v>
      </c>
      <c r="C34" s="402"/>
      <c r="D34" s="110">
        <f t="shared" si="2"/>
        <v>87000</v>
      </c>
      <c r="E34" s="16"/>
      <c r="F34" s="276"/>
      <c r="G34" s="115">
        <f t="shared" si="7"/>
        <v>31020.749999999993</v>
      </c>
      <c r="H34" s="102">
        <f>('Consumption Guide'!G29*O34)/1000</f>
        <v>4933.2349999999997</v>
      </c>
      <c r="I34" s="225">
        <f t="shared" si="0"/>
        <v>15238.395000000011</v>
      </c>
      <c r="J34" s="103">
        <f>(K34+M34+L34)</f>
        <v>0</v>
      </c>
      <c r="K34" s="122"/>
      <c r="L34" s="97"/>
      <c r="M34" s="121"/>
      <c r="N34" s="112"/>
      <c r="O34" s="113">
        <f t="shared" si="3"/>
        <v>46105</v>
      </c>
      <c r="P34" s="107"/>
      <c r="Q34" s="102"/>
      <c r="R34" s="107">
        <f t="shared" si="6"/>
        <v>0</v>
      </c>
      <c r="S34" s="108"/>
      <c r="T34" s="109"/>
      <c r="U34" s="108"/>
      <c r="V34" s="91"/>
      <c r="W34" s="92"/>
    </row>
    <row r="35" spans="1:23" x14ac:dyDescent="0.25">
      <c r="A35" s="25">
        <f t="shared" si="8"/>
        <v>23</v>
      </c>
      <c r="B35" s="401">
        <f t="shared" si="8"/>
        <v>46127</v>
      </c>
      <c r="C35" s="402"/>
      <c r="D35" s="110">
        <f t="shared" si="2"/>
        <v>87000</v>
      </c>
      <c r="E35" s="16"/>
      <c r="F35" s="16"/>
      <c r="G35" s="115">
        <f t="shared" si="7"/>
        <v>31020.749999999993</v>
      </c>
      <c r="H35" s="102">
        <f>('Consumption Guide'!G30*O35)/1000</f>
        <v>5209.8649999999998</v>
      </c>
      <c r="I35" s="225">
        <f t="shared" si="0"/>
        <v>10028.530000000012</v>
      </c>
      <c r="J35" s="103">
        <f t="shared" si="5"/>
        <v>0</v>
      </c>
      <c r="K35" s="129"/>
      <c r="L35" s="97"/>
      <c r="M35" s="121"/>
      <c r="N35" s="112"/>
      <c r="O35" s="113">
        <f t="shared" si="3"/>
        <v>46105</v>
      </c>
      <c r="P35" s="107"/>
      <c r="Q35" s="102"/>
      <c r="R35" s="107">
        <f t="shared" si="6"/>
        <v>0</v>
      </c>
      <c r="S35" s="108"/>
      <c r="T35" s="109"/>
      <c r="U35" s="108"/>
      <c r="V35" s="91"/>
      <c r="W35" s="92"/>
    </row>
    <row r="36" spans="1:23" x14ac:dyDescent="0.25">
      <c r="A36" s="25">
        <f t="shared" si="8"/>
        <v>24</v>
      </c>
      <c r="B36" s="401">
        <f t="shared" si="8"/>
        <v>46128</v>
      </c>
      <c r="C36" s="402"/>
      <c r="D36" s="110">
        <f t="shared" si="2"/>
        <v>87000</v>
      </c>
      <c r="E36" s="114"/>
      <c r="F36" s="16"/>
      <c r="G36" s="115">
        <f t="shared" si="7"/>
        <v>31020.749999999993</v>
      </c>
      <c r="H36" s="102">
        <f>('Consumption Guide'!G31*O36)/1000</f>
        <v>5440.39</v>
      </c>
      <c r="I36" s="225">
        <f t="shared" si="0"/>
        <v>4588.1400000000112</v>
      </c>
      <c r="J36" s="103">
        <f t="shared" si="5"/>
        <v>0</v>
      </c>
      <c r="K36" s="129"/>
      <c r="L36" s="97"/>
      <c r="M36" s="121"/>
      <c r="N36" s="112"/>
      <c r="O36" s="113">
        <f t="shared" si="3"/>
        <v>46105</v>
      </c>
      <c r="P36" s="107"/>
      <c r="Q36" s="102"/>
      <c r="R36" s="107">
        <f t="shared" si="6"/>
        <v>0</v>
      </c>
      <c r="S36" s="108"/>
      <c r="T36" s="109"/>
      <c r="U36" s="108"/>
      <c r="V36" s="91"/>
      <c r="W36" s="92"/>
    </row>
    <row r="37" spans="1:23" x14ac:dyDescent="0.25">
      <c r="A37" s="25">
        <f t="shared" si="8"/>
        <v>25</v>
      </c>
      <c r="B37" s="401">
        <f t="shared" si="8"/>
        <v>46129</v>
      </c>
      <c r="C37" s="402"/>
      <c r="D37" s="110">
        <f t="shared" si="2"/>
        <v>87000</v>
      </c>
      <c r="E37" s="16"/>
      <c r="F37" s="16"/>
      <c r="G37" s="123">
        <f>H4-E36</f>
        <v>78378.5</v>
      </c>
      <c r="H37" s="102">
        <f>('Consumption Guide'!G32*O37)/1000</f>
        <v>5624.81</v>
      </c>
      <c r="I37" s="225">
        <f t="shared" si="0"/>
        <v>-1036.6699999999892</v>
      </c>
      <c r="J37" s="103">
        <f t="shared" si="5"/>
        <v>0</v>
      </c>
      <c r="K37" s="129"/>
      <c r="L37" s="97"/>
      <c r="M37" s="121"/>
      <c r="N37" s="112"/>
      <c r="O37" s="113">
        <f t="shared" si="3"/>
        <v>46105</v>
      </c>
      <c r="P37" s="107"/>
      <c r="Q37" s="102"/>
      <c r="R37" s="107">
        <f t="shared" si="6"/>
        <v>0</v>
      </c>
      <c r="S37" s="108"/>
      <c r="T37" s="109"/>
      <c r="U37" s="108"/>
      <c r="V37" s="91"/>
      <c r="W37" s="92"/>
    </row>
    <row r="38" spans="1:23" s="124" customFormat="1" x14ac:dyDescent="0.25">
      <c r="A38" s="124">
        <f t="shared" si="8"/>
        <v>26</v>
      </c>
      <c r="B38" s="401">
        <f t="shared" si="8"/>
        <v>46130</v>
      </c>
      <c r="C38" s="402"/>
      <c r="D38" s="110">
        <f t="shared" si="2"/>
        <v>87000</v>
      </c>
      <c r="E38" s="16"/>
      <c r="F38" s="16"/>
      <c r="G38" s="123">
        <f t="shared" ref="G38:G44" si="9">G37-E38</f>
        <v>78378.5</v>
      </c>
      <c r="H38" s="102">
        <f>('Consumption Guide'!G33*O38)/1000</f>
        <v>5901.44</v>
      </c>
      <c r="I38" s="225">
        <f t="shared" si="0"/>
        <v>-6938.1099999999888</v>
      </c>
      <c r="J38" s="103">
        <f t="shared" si="5"/>
        <v>0</v>
      </c>
      <c r="K38" s="122"/>
      <c r="L38" s="170"/>
      <c r="M38" s="121"/>
      <c r="N38" s="126"/>
      <c r="O38" s="113">
        <f t="shared" si="3"/>
        <v>46105</v>
      </c>
      <c r="P38" s="107"/>
      <c r="Q38" s="102"/>
      <c r="R38" s="107">
        <f t="shared" si="6"/>
        <v>0</v>
      </c>
      <c r="S38" s="108"/>
      <c r="T38" s="109"/>
      <c r="U38" s="108"/>
      <c r="V38" s="127"/>
      <c r="W38" s="128"/>
    </row>
    <row r="39" spans="1:23" x14ac:dyDescent="0.25">
      <c r="A39" s="25">
        <f t="shared" si="8"/>
        <v>27</v>
      </c>
      <c r="B39" s="401">
        <f t="shared" si="8"/>
        <v>46131</v>
      </c>
      <c r="C39" s="402"/>
      <c r="D39" s="110">
        <f t="shared" si="2"/>
        <v>87000</v>
      </c>
      <c r="E39" s="16"/>
      <c r="F39" s="16"/>
      <c r="G39" s="123">
        <f t="shared" si="9"/>
        <v>78378.5</v>
      </c>
      <c r="H39" s="102">
        <f>('Consumption Guide'!G34*O39)/1000</f>
        <v>6178.07</v>
      </c>
      <c r="I39" s="225">
        <f t="shared" si="0"/>
        <v>-13116.179999999989</v>
      </c>
      <c r="J39" s="103">
        <f t="shared" si="5"/>
        <v>0</v>
      </c>
      <c r="K39" s="129"/>
      <c r="L39" s="125"/>
      <c r="M39" s="171"/>
      <c r="N39" s="112"/>
      <c r="O39" s="113">
        <f t="shared" si="3"/>
        <v>46105</v>
      </c>
      <c r="P39" s="107"/>
      <c r="Q39" s="102"/>
      <c r="R39" s="107">
        <f t="shared" si="6"/>
        <v>0</v>
      </c>
      <c r="S39" s="108"/>
      <c r="T39" s="109"/>
      <c r="U39" s="108"/>
      <c r="V39" s="91"/>
      <c r="W39" s="92"/>
    </row>
    <row r="40" spans="1:23" x14ac:dyDescent="0.25">
      <c r="A40" s="25">
        <f t="shared" si="8"/>
        <v>28</v>
      </c>
      <c r="B40" s="401">
        <f t="shared" si="8"/>
        <v>46132</v>
      </c>
      <c r="C40" s="402"/>
      <c r="D40" s="110">
        <f t="shared" si="2"/>
        <v>87000</v>
      </c>
      <c r="E40" s="16"/>
      <c r="F40" s="16"/>
      <c r="G40" s="123">
        <f t="shared" si="9"/>
        <v>78378.5</v>
      </c>
      <c r="H40" s="102">
        <f>('Consumption Guide'!G35*O40)/1000</f>
        <v>6408.5950000000003</v>
      </c>
      <c r="I40" s="225">
        <f t="shared" si="0"/>
        <v>-19524.774999999991</v>
      </c>
      <c r="J40" s="103">
        <f t="shared" si="5"/>
        <v>0</v>
      </c>
      <c r="K40" s="129"/>
      <c r="L40" s="170"/>
      <c r="M40" s="171"/>
      <c r="N40" s="131"/>
      <c r="O40" s="113">
        <f t="shared" si="3"/>
        <v>46105</v>
      </c>
      <c r="P40" s="107"/>
      <c r="Q40" s="102"/>
      <c r="R40" s="107">
        <f t="shared" si="6"/>
        <v>0</v>
      </c>
      <c r="S40" s="108"/>
      <c r="T40" s="109"/>
      <c r="U40" s="108"/>
      <c r="V40" s="91"/>
      <c r="W40" s="92"/>
    </row>
    <row r="41" spans="1:23" x14ac:dyDescent="0.25">
      <c r="A41" s="25">
        <f t="shared" si="8"/>
        <v>29</v>
      </c>
      <c r="B41" s="401">
        <f t="shared" si="8"/>
        <v>46133</v>
      </c>
      <c r="C41" s="402"/>
      <c r="D41" s="110">
        <f t="shared" si="2"/>
        <v>87000</v>
      </c>
      <c r="E41" s="16"/>
      <c r="F41" s="16"/>
      <c r="G41" s="123">
        <f t="shared" si="9"/>
        <v>78378.5</v>
      </c>
      <c r="H41" s="102">
        <f>('Consumption Guide'!G36*O41)/1000</f>
        <v>6454.7</v>
      </c>
      <c r="I41" s="225">
        <f t="shared" si="0"/>
        <v>-25979.474999999991</v>
      </c>
      <c r="J41" s="103">
        <f t="shared" si="5"/>
        <v>0</v>
      </c>
      <c r="K41" s="129"/>
      <c r="L41" s="130"/>
      <c r="M41" s="171"/>
      <c r="N41" s="132"/>
      <c r="O41" s="113">
        <f t="shared" si="3"/>
        <v>46105</v>
      </c>
      <c r="P41" s="107"/>
      <c r="Q41" s="102"/>
      <c r="R41" s="107">
        <f t="shared" si="6"/>
        <v>0</v>
      </c>
      <c r="S41" s="108"/>
      <c r="T41" s="109"/>
      <c r="U41" s="108"/>
      <c r="V41" s="91"/>
      <c r="W41" s="92"/>
    </row>
    <row r="42" spans="1:23" x14ac:dyDescent="0.25">
      <c r="A42" s="25">
        <f t="shared" si="8"/>
        <v>30</v>
      </c>
      <c r="B42" s="401">
        <f t="shared" si="8"/>
        <v>46134</v>
      </c>
      <c r="C42" s="402"/>
      <c r="D42" s="110">
        <f t="shared" si="2"/>
        <v>87000</v>
      </c>
      <c r="E42" s="16"/>
      <c r="F42" s="16"/>
      <c r="G42" s="123">
        <f t="shared" si="9"/>
        <v>78378.5</v>
      </c>
      <c r="H42" s="102">
        <f>('Consumption Guide'!G37*O42)/1000</f>
        <v>6546.91</v>
      </c>
      <c r="I42" s="225">
        <f t="shared" si="0"/>
        <v>-32526.384999999991</v>
      </c>
      <c r="J42" s="103">
        <f t="shared" si="5"/>
        <v>0</v>
      </c>
      <c r="K42" s="129"/>
      <c r="L42" s="130"/>
      <c r="M42" s="134"/>
      <c r="N42" s="132"/>
      <c r="O42" s="113">
        <f t="shared" si="3"/>
        <v>46105</v>
      </c>
      <c r="P42" s="107"/>
      <c r="Q42" s="102"/>
      <c r="R42" s="107">
        <f t="shared" si="6"/>
        <v>0</v>
      </c>
      <c r="S42" s="108"/>
      <c r="T42" s="109"/>
      <c r="U42" s="108"/>
      <c r="V42" s="91"/>
      <c r="W42" s="92"/>
    </row>
    <row r="43" spans="1:23" x14ac:dyDescent="0.25">
      <c r="A43" s="25">
        <f t="shared" si="8"/>
        <v>31</v>
      </c>
      <c r="B43" s="401">
        <f t="shared" si="8"/>
        <v>46135</v>
      </c>
      <c r="C43" s="402"/>
      <c r="D43" s="110">
        <f t="shared" si="2"/>
        <v>87000</v>
      </c>
      <c r="E43" s="391"/>
      <c r="F43" s="16"/>
      <c r="G43" s="123">
        <f t="shared" si="9"/>
        <v>78378.5</v>
      </c>
      <c r="H43" s="102">
        <f>('Consumption Guide'!G38*O43)/1000</f>
        <v>6869.6450000000004</v>
      </c>
      <c r="I43" s="225">
        <f t="shared" si="0"/>
        <v>-39396.029999999992</v>
      </c>
      <c r="J43" s="103">
        <f t="shared" si="5"/>
        <v>0</v>
      </c>
      <c r="K43" s="129"/>
      <c r="L43" s="130"/>
      <c r="M43" s="134"/>
      <c r="N43" s="126"/>
      <c r="O43" s="113">
        <f t="shared" si="3"/>
        <v>46105</v>
      </c>
      <c r="P43" s="107"/>
      <c r="Q43" s="102"/>
      <c r="R43" s="107">
        <f t="shared" si="6"/>
        <v>0</v>
      </c>
      <c r="S43" s="108"/>
      <c r="T43" s="109"/>
      <c r="U43" s="108"/>
      <c r="V43" s="91"/>
      <c r="W43" s="92"/>
    </row>
    <row r="44" spans="1:23" x14ac:dyDescent="0.25">
      <c r="A44" s="25">
        <f t="shared" si="8"/>
        <v>32</v>
      </c>
      <c r="B44" s="401">
        <f t="shared" si="8"/>
        <v>46136</v>
      </c>
      <c r="C44" s="402"/>
      <c r="D44" s="110">
        <f t="shared" si="2"/>
        <v>87000</v>
      </c>
      <c r="E44" s="16"/>
      <c r="F44" s="277"/>
      <c r="G44" s="123">
        <f t="shared" si="9"/>
        <v>78378.5</v>
      </c>
      <c r="H44" s="102">
        <f>('Consumption Guide'!G39*O44)/1000</f>
        <v>7054.0649999999996</v>
      </c>
      <c r="I44" s="225">
        <f t="shared" si="0"/>
        <v>-46450.094999999994</v>
      </c>
      <c r="J44" s="103">
        <f>(K44+M44+L44)</f>
        <v>0</v>
      </c>
      <c r="K44" s="129"/>
      <c r="L44" s="130"/>
      <c r="M44" s="134"/>
      <c r="N44" s="99"/>
      <c r="O44" s="113">
        <f t="shared" si="3"/>
        <v>46105</v>
      </c>
      <c r="P44" s="107"/>
      <c r="Q44" s="102"/>
      <c r="R44" s="107">
        <f t="shared" si="6"/>
        <v>0</v>
      </c>
      <c r="S44" s="108"/>
      <c r="T44" s="109"/>
      <c r="U44" s="108"/>
      <c r="V44" s="91"/>
      <c r="W44" s="92"/>
    </row>
    <row r="45" spans="1:23" s="124" customFormat="1" x14ac:dyDescent="0.25">
      <c r="A45" s="124">
        <f t="shared" si="8"/>
        <v>33</v>
      </c>
      <c r="B45" s="401">
        <f t="shared" si="8"/>
        <v>46137</v>
      </c>
      <c r="C45" s="402"/>
      <c r="D45" s="110">
        <f t="shared" si="2"/>
        <v>87000</v>
      </c>
      <c r="E45" s="16"/>
      <c r="F45" s="16"/>
      <c r="G45" s="135">
        <v>0</v>
      </c>
      <c r="H45" s="102">
        <f>('Consumption Guide'!G40*O45)/1000</f>
        <v>7284.59</v>
      </c>
      <c r="I45" s="225">
        <f t="shared" si="0"/>
        <v>-53734.684999999998</v>
      </c>
      <c r="J45" s="103">
        <f t="shared" si="5"/>
        <v>0</v>
      </c>
      <c r="K45" s="129"/>
      <c r="L45" s="130"/>
      <c r="M45" s="134"/>
      <c r="N45" s="99"/>
      <c r="O45" s="113">
        <f t="shared" si="3"/>
        <v>46105</v>
      </c>
      <c r="P45" s="136"/>
      <c r="Q45" s="102"/>
      <c r="R45" s="107">
        <f t="shared" si="6"/>
        <v>0</v>
      </c>
      <c r="S45" s="108"/>
      <c r="T45" s="109"/>
      <c r="U45" s="108"/>
      <c r="V45" s="127"/>
      <c r="W45" s="128"/>
    </row>
    <row r="46" spans="1:23" x14ac:dyDescent="0.25">
      <c r="A46" s="25">
        <f t="shared" si="8"/>
        <v>34</v>
      </c>
      <c r="B46" s="401">
        <f t="shared" si="8"/>
        <v>46138</v>
      </c>
      <c r="C46" s="402"/>
      <c r="D46" s="110">
        <f t="shared" si="2"/>
        <v>87000</v>
      </c>
      <c r="E46" s="16"/>
      <c r="F46" s="99"/>
      <c r="G46" s="135">
        <v>0</v>
      </c>
      <c r="H46" s="102">
        <f>('Consumption Guide'!G41*O46)/1000</f>
        <v>7515.1149999999998</v>
      </c>
      <c r="I46" s="225">
        <f t="shared" si="0"/>
        <v>-61249.799999999996</v>
      </c>
      <c r="J46" s="103">
        <f t="shared" si="5"/>
        <v>0</v>
      </c>
      <c r="K46" s="129"/>
      <c r="L46" s="130"/>
      <c r="M46" s="134"/>
      <c r="N46" s="99"/>
      <c r="O46" s="113">
        <f t="shared" ref="O46:O72" si="10">SUM(O45-N46)</f>
        <v>46105</v>
      </c>
      <c r="P46" s="136"/>
      <c r="Q46" s="102"/>
      <c r="R46" s="107">
        <f t="shared" si="6"/>
        <v>0</v>
      </c>
      <c r="S46" s="108"/>
      <c r="T46" s="109"/>
      <c r="U46" s="108"/>
      <c r="V46" s="91"/>
      <c r="W46" s="92"/>
    </row>
    <row r="47" spans="1:23" x14ac:dyDescent="0.25">
      <c r="A47" s="25">
        <f t="shared" ref="A47:B62" si="11">A46+1</f>
        <v>35</v>
      </c>
      <c r="B47" s="401">
        <f t="shared" si="11"/>
        <v>46139</v>
      </c>
      <c r="C47" s="402"/>
      <c r="D47" s="110">
        <f t="shared" si="2"/>
        <v>87000</v>
      </c>
      <c r="E47" s="99"/>
      <c r="F47" s="99"/>
      <c r="G47" s="135">
        <v>0</v>
      </c>
      <c r="H47" s="102">
        <f>('Consumption Guide'!G42*O47)/1000</f>
        <v>7607.3249999999998</v>
      </c>
      <c r="I47" s="225">
        <f t="shared" si="0"/>
        <v>-68857.125</v>
      </c>
      <c r="J47" s="103">
        <f t="shared" si="5"/>
        <v>0</v>
      </c>
      <c r="K47" s="129"/>
      <c r="L47" s="170"/>
      <c r="M47" s="134"/>
      <c r="N47" s="99"/>
      <c r="O47" s="113">
        <f t="shared" si="10"/>
        <v>46105</v>
      </c>
      <c r="P47" s="136"/>
      <c r="Q47" s="102"/>
      <c r="R47" s="107">
        <f t="shared" si="6"/>
        <v>0</v>
      </c>
      <c r="S47" s="108"/>
      <c r="T47" s="109"/>
      <c r="U47" s="108"/>
      <c r="V47" s="91"/>
      <c r="W47" s="92"/>
    </row>
    <row r="48" spans="1:23" x14ac:dyDescent="0.25">
      <c r="A48" s="25">
        <f t="shared" si="11"/>
        <v>36</v>
      </c>
      <c r="B48" s="401">
        <f t="shared" si="11"/>
        <v>46140</v>
      </c>
      <c r="C48" s="402"/>
      <c r="D48" s="110">
        <f t="shared" si="2"/>
        <v>87000</v>
      </c>
      <c r="E48" s="99"/>
      <c r="F48" s="99"/>
      <c r="G48" s="135">
        <v>0</v>
      </c>
      <c r="H48" s="102">
        <f>('Consumption Guide'!G43*O48)/1000</f>
        <v>7745.64</v>
      </c>
      <c r="I48" s="225">
        <f t="shared" si="0"/>
        <v>-76602.764999999999</v>
      </c>
      <c r="J48" s="103">
        <f t="shared" si="5"/>
        <v>0</v>
      </c>
      <c r="K48" s="129"/>
      <c r="L48" s="130"/>
      <c r="M48" s="137"/>
      <c r="N48" s="99"/>
      <c r="O48" s="113">
        <f t="shared" si="10"/>
        <v>46105</v>
      </c>
      <c r="P48" s="136"/>
      <c r="Q48" s="102"/>
      <c r="R48" s="107">
        <f t="shared" si="6"/>
        <v>0</v>
      </c>
      <c r="S48" s="108"/>
      <c r="T48" s="109"/>
      <c r="U48" s="108"/>
      <c r="V48" s="91"/>
      <c r="W48" s="92"/>
    </row>
    <row r="49" spans="1:23" x14ac:dyDescent="0.25">
      <c r="A49" s="25">
        <f t="shared" si="11"/>
        <v>37</v>
      </c>
      <c r="B49" s="401">
        <f t="shared" si="11"/>
        <v>46141</v>
      </c>
      <c r="C49" s="402"/>
      <c r="D49" s="110">
        <f t="shared" si="2"/>
        <v>87000</v>
      </c>
      <c r="E49" s="99"/>
      <c r="F49" s="99"/>
      <c r="G49" s="135">
        <v>0</v>
      </c>
      <c r="H49" s="102">
        <f>('Consumption Guide'!G44*O49)/1000</f>
        <v>7883.9549999999999</v>
      </c>
      <c r="I49" s="225">
        <f t="shared" si="0"/>
        <v>-84486.720000000001</v>
      </c>
      <c r="J49" s="103">
        <f t="shared" si="5"/>
        <v>0</v>
      </c>
      <c r="K49" s="138"/>
      <c r="L49" s="130"/>
      <c r="M49" s="137"/>
      <c r="N49" s="99"/>
      <c r="O49" s="113">
        <f t="shared" si="10"/>
        <v>46105</v>
      </c>
      <c r="P49" s="136"/>
      <c r="Q49" s="102"/>
      <c r="R49" s="107">
        <f t="shared" si="6"/>
        <v>0</v>
      </c>
      <c r="S49" s="108"/>
      <c r="T49" s="109"/>
      <c r="U49" s="108"/>
      <c r="V49" s="91"/>
      <c r="W49" s="92"/>
    </row>
    <row r="50" spans="1:23" x14ac:dyDescent="0.25">
      <c r="A50" s="25">
        <f t="shared" si="11"/>
        <v>38</v>
      </c>
      <c r="B50" s="401">
        <f t="shared" si="11"/>
        <v>46142</v>
      </c>
      <c r="C50" s="402"/>
      <c r="D50" s="110">
        <f t="shared" si="2"/>
        <v>87000</v>
      </c>
      <c r="E50" s="16"/>
      <c r="F50" s="16"/>
      <c r="G50" s="135">
        <v>0</v>
      </c>
      <c r="H50" s="102">
        <f>('Consumption Guide'!G45*O50)/1000</f>
        <v>8022.27</v>
      </c>
      <c r="I50" s="225">
        <f t="shared" si="0"/>
        <v>-92508.99</v>
      </c>
      <c r="J50" s="103">
        <f t="shared" si="5"/>
        <v>0</v>
      </c>
      <c r="K50" s="129"/>
      <c r="L50" s="130"/>
      <c r="M50" s="134"/>
      <c r="N50" s="99"/>
      <c r="O50" s="113">
        <f t="shared" si="10"/>
        <v>46105</v>
      </c>
      <c r="P50" s="136"/>
      <c r="Q50" s="102"/>
      <c r="R50" s="107">
        <f t="shared" si="6"/>
        <v>0</v>
      </c>
      <c r="S50" s="108"/>
      <c r="T50" s="109"/>
      <c r="U50" s="108"/>
      <c r="V50" s="91"/>
      <c r="W50" s="92"/>
    </row>
    <row r="51" spans="1:23" x14ac:dyDescent="0.25">
      <c r="A51" s="25">
        <f t="shared" si="11"/>
        <v>39</v>
      </c>
      <c r="B51" s="401">
        <f t="shared" si="11"/>
        <v>46143</v>
      </c>
      <c r="C51" s="402"/>
      <c r="D51" s="110">
        <f t="shared" si="2"/>
        <v>87000</v>
      </c>
      <c r="E51" s="99"/>
      <c r="F51" s="99"/>
      <c r="G51" s="135">
        <v>0</v>
      </c>
      <c r="H51" s="102">
        <f>('Consumption Guide'!G46*O51)/1000</f>
        <v>8114.48</v>
      </c>
      <c r="I51" s="225">
        <f t="shared" si="0"/>
        <v>-100623.47</v>
      </c>
      <c r="J51" s="103">
        <f t="shared" si="5"/>
        <v>0</v>
      </c>
      <c r="K51" s="129"/>
      <c r="L51" s="130"/>
      <c r="M51" s="134"/>
      <c r="N51" s="99"/>
      <c r="O51" s="113">
        <f t="shared" si="10"/>
        <v>46105</v>
      </c>
      <c r="P51" s="136"/>
      <c r="Q51" s="102"/>
      <c r="R51" s="107">
        <f t="shared" si="6"/>
        <v>0</v>
      </c>
      <c r="S51" s="108"/>
      <c r="T51" s="109"/>
      <c r="U51" s="108"/>
      <c r="V51" s="91"/>
      <c r="W51" s="92"/>
    </row>
    <row r="52" spans="1:23" x14ac:dyDescent="0.25">
      <c r="A52" s="25">
        <f t="shared" si="11"/>
        <v>40</v>
      </c>
      <c r="B52" s="401">
        <f t="shared" si="11"/>
        <v>46144</v>
      </c>
      <c r="C52" s="402"/>
      <c r="D52" s="110">
        <f t="shared" si="2"/>
        <v>87000</v>
      </c>
      <c r="E52" s="99"/>
      <c r="F52" s="99"/>
      <c r="G52" s="135">
        <v>0</v>
      </c>
      <c r="H52" s="102">
        <f>('Consumption Guide'!G47*O52)/1000</f>
        <v>8206.69</v>
      </c>
      <c r="I52" s="225">
        <f t="shared" si="0"/>
        <v>-108830.16</v>
      </c>
      <c r="J52" s="103">
        <f t="shared" si="5"/>
        <v>0</v>
      </c>
      <c r="K52" s="129"/>
      <c r="L52" s="130"/>
      <c r="M52" s="134"/>
      <c r="N52" s="99"/>
      <c r="O52" s="113">
        <f t="shared" si="10"/>
        <v>46105</v>
      </c>
      <c r="P52" s="136"/>
      <c r="Q52" s="102"/>
      <c r="R52" s="107">
        <f t="shared" si="6"/>
        <v>0</v>
      </c>
      <c r="S52" s="108"/>
      <c r="T52" s="109"/>
      <c r="U52" s="108"/>
      <c r="V52" s="91"/>
      <c r="W52" s="92"/>
    </row>
    <row r="53" spans="1:23" x14ac:dyDescent="0.25">
      <c r="A53" s="139">
        <f t="shared" si="11"/>
        <v>41</v>
      </c>
      <c r="B53" s="401">
        <f t="shared" si="11"/>
        <v>46145</v>
      </c>
      <c r="C53" s="402"/>
      <c r="D53" s="140">
        <f t="shared" si="2"/>
        <v>87000</v>
      </c>
      <c r="E53" s="99"/>
      <c r="F53" s="99"/>
      <c r="G53" s="135">
        <v>0</v>
      </c>
      <c r="H53" s="141">
        <f>('Consumption Guide'!G48*O53)/1000</f>
        <v>8298.9</v>
      </c>
      <c r="I53" s="226">
        <f t="shared" si="0"/>
        <v>-117129.06</v>
      </c>
      <c r="J53" s="103">
        <f t="shared" si="5"/>
        <v>0</v>
      </c>
      <c r="K53" s="129"/>
      <c r="L53" s="16"/>
      <c r="M53" s="142"/>
      <c r="N53" s="130"/>
      <c r="O53" s="113">
        <f t="shared" si="10"/>
        <v>46105</v>
      </c>
      <c r="P53" s="136"/>
      <c r="Q53" s="102"/>
      <c r="R53" s="107">
        <f t="shared" si="6"/>
        <v>0</v>
      </c>
      <c r="S53" s="108"/>
      <c r="T53" s="109"/>
      <c r="U53" s="108"/>
      <c r="V53" s="91"/>
      <c r="W53" s="92"/>
    </row>
    <row r="54" spans="1:23" x14ac:dyDescent="0.25">
      <c r="A54" s="25">
        <f t="shared" si="11"/>
        <v>42</v>
      </c>
      <c r="B54" s="401">
        <f t="shared" si="11"/>
        <v>46146</v>
      </c>
      <c r="C54" s="402"/>
      <c r="D54" s="110">
        <f t="shared" si="2"/>
        <v>87000</v>
      </c>
      <c r="E54" s="99"/>
      <c r="F54" s="99"/>
      <c r="G54" s="135">
        <v>0</v>
      </c>
      <c r="H54" s="102">
        <f>('Consumption Guide'!G49*O54)/1000</f>
        <v>8345.0049999999992</v>
      </c>
      <c r="I54" s="225">
        <f t="shared" si="0"/>
        <v>-125474.065</v>
      </c>
      <c r="J54" s="103">
        <f t="shared" si="5"/>
        <v>0</v>
      </c>
      <c r="K54" s="138"/>
      <c r="L54" s="99"/>
      <c r="M54" s="142"/>
      <c r="N54" s="99"/>
      <c r="O54" s="113">
        <f t="shared" si="10"/>
        <v>46105</v>
      </c>
      <c r="P54" s="136"/>
      <c r="Q54" s="102"/>
      <c r="R54" s="107">
        <f t="shared" si="6"/>
        <v>0</v>
      </c>
      <c r="S54" s="108"/>
      <c r="T54" s="109"/>
      <c r="U54" s="109"/>
      <c r="V54" s="91"/>
      <c r="W54" s="92"/>
    </row>
    <row r="55" spans="1:23" s="124" customFormat="1" x14ac:dyDescent="0.25">
      <c r="A55" s="124">
        <f t="shared" si="11"/>
        <v>43</v>
      </c>
      <c r="B55" s="401">
        <f t="shared" si="11"/>
        <v>46147</v>
      </c>
      <c r="C55" s="402"/>
      <c r="D55" s="110">
        <f t="shared" si="2"/>
        <v>87000</v>
      </c>
      <c r="E55" s="99"/>
      <c r="F55" s="99"/>
      <c r="G55" s="135">
        <v>0</v>
      </c>
      <c r="H55" s="102">
        <f>('Consumption Guide'!G50*O55)/1000</f>
        <v>8667.74</v>
      </c>
      <c r="I55" s="225">
        <f t="shared" si="0"/>
        <v>-134141.80499999999</v>
      </c>
      <c r="J55" s="103">
        <f t="shared" si="5"/>
        <v>0</v>
      </c>
      <c r="K55" s="138"/>
      <c r="L55" s="99"/>
      <c r="M55" s="118"/>
      <c r="N55" s="99"/>
      <c r="O55" s="113">
        <f t="shared" si="10"/>
        <v>46105</v>
      </c>
      <c r="P55" s="136"/>
      <c r="Q55" s="102"/>
      <c r="R55" s="107">
        <f t="shared" si="6"/>
        <v>0</v>
      </c>
      <c r="S55" s="108"/>
      <c r="T55" s="109"/>
      <c r="U55" s="108"/>
      <c r="V55" s="127"/>
      <c r="W55" s="128"/>
    </row>
    <row r="56" spans="1:23" s="124" customFormat="1" x14ac:dyDescent="0.25">
      <c r="A56" s="124">
        <f t="shared" si="11"/>
        <v>44</v>
      </c>
      <c r="B56" s="401">
        <f t="shared" si="11"/>
        <v>46148</v>
      </c>
      <c r="C56" s="402"/>
      <c r="D56" s="110">
        <f t="shared" si="2"/>
        <v>87000</v>
      </c>
      <c r="E56" s="99"/>
      <c r="F56" s="99"/>
      <c r="G56" s="135">
        <v>0</v>
      </c>
      <c r="H56" s="102">
        <f>('Consumption Guide'!G51*O56)/1000</f>
        <v>8759.9500000000007</v>
      </c>
      <c r="I56" s="102">
        <f t="shared" si="0"/>
        <v>-142901.755</v>
      </c>
      <c r="J56" s="103">
        <f t="shared" si="5"/>
        <v>0</v>
      </c>
      <c r="K56" s="138"/>
      <c r="L56" s="99"/>
      <c r="M56" s="118"/>
      <c r="N56" s="170"/>
      <c r="O56" s="113">
        <f t="shared" si="10"/>
        <v>46105</v>
      </c>
      <c r="P56" s="136"/>
      <c r="Q56" s="102"/>
      <c r="R56" s="107">
        <f t="shared" si="6"/>
        <v>0</v>
      </c>
      <c r="S56" s="108"/>
      <c r="T56" s="109"/>
      <c r="U56" s="108"/>
      <c r="V56" s="127"/>
      <c r="W56" s="128"/>
    </row>
    <row r="57" spans="1:23" s="124" customFormat="1" x14ac:dyDescent="0.25">
      <c r="A57" s="124">
        <f t="shared" si="11"/>
        <v>45</v>
      </c>
      <c r="B57" s="401">
        <f t="shared" si="11"/>
        <v>46149</v>
      </c>
      <c r="C57" s="402"/>
      <c r="D57" s="110">
        <f t="shared" si="2"/>
        <v>87000</v>
      </c>
      <c r="E57" s="99"/>
      <c r="F57" s="99"/>
      <c r="G57" s="135">
        <v>0</v>
      </c>
      <c r="H57" s="102">
        <f>('Consumption Guide'!G52*O57)/1000</f>
        <v>8852.16</v>
      </c>
      <c r="I57" s="225">
        <f t="shared" si="0"/>
        <v>-151753.91500000001</v>
      </c>
      <c r="J57" s="103">
        <f t="shared" si="5"/>
        <v>0</v>
      </c>
      <c r="K57" s="138"/>
      <c r="L57" s="99"/>
      <c r="M57" s="118"/>
      <c r="N57" s="99"/>
      <c r="O57" s="113">
        <f t="shared" si="10"/>
        <v>46105</v>
      </c>
      <c r="P57" s="136"/>
      <c r="Q57" s="102"/>
      <c r="R57" s="107">
        <f t="shared" si="6"/>
        <v>0</v>
      </c>
      <c r="S57" s="108"/>
      <c r="T57" s="109"/>
      <c r="U57" s="109"/>
      <c r="V57" s="127"/>
      <c r="W57" s="128"/>
    </row>
    <row r="58" spans="1:23" s="124" customFormat="1" x14ac:dyDescent="0.25">
      <c r="A58" s="124">
        <f t="shared" si="11"/>
        <v>46</v>
      </c>
      <c r="B58" s="401">
        <f t="shared" si="11"/>
        <v>46150</v>
      </c>
      <c r="C58" s="402"/>
      <c r="D58" s="110">
        <f t="shared" si="2"/>
        <v>87000</v>
      </c>
      <c r="E58" s="99"/>
      <c r="F58" s="99"/>
      <c r="G58" s="135">
        <v>0</v>
      </c>
      <c r="H58" s="102">
        <f>('Consumption Guide'!G53*O58)/1000</f>
        <v>8898.2649999999994</v>
      </c>
      <c r="I58" s="225">
        <f t="shared" si="0"/>
        <v>-160652.18</v>
      </c>
      <c r="J58" s="103">
        <f t="shared" si="5"/>
        <v>0</v>
      </c>
      <c r="K58" s="138"/>
      <c r="L58" s="99"/>
      <c r="M58" s="118"/>
      <c r="N58" s="99"/>
      <c r="O58" s="113">
        <f t="shared" si="10"/>
        <v>46105</v>
      </c>
      <c r="P58" s="136"/>
      <c r="Q58" s="102"/>
      <c r="R58" s="107">
        <f t="shared" si="6"/>
        <v>0</v>
      </c>
      <c r="S58" s="108"/>
      <c r="T58" s="109"/>
      <c r="U58" s="109"/>
      <c r="V58" s="127"/>
      <c r="W58" s="128"/>
    </row>
    <row r="59" spans="1:23" s="124" customFormat="1" x14ac:dyDescent="0.25">
      <c r="A59" s="124">
        <f t="shared" si="11"/>
        <v>47</v>
      </c>
      <c r="B59" s="401">
        <f t="shared" si="11"/>
        <v>46151</v>
      </c>
      <c r="C59" s="402"/>
      <c r="D59" s="110">
        <f>D58+E59</f>
        <v>87000</v>
      </c>
      <c r="E59" s="99"/>
      <c r="F59" s="99"/>
      <c r="G59" s="135">
        <v>0</v>
      </c>
      <c r="H59" s="102">
        <f>('Consumption Guide'!G54*O59)/1000</f>
        <v>8944.3700000000008</v>
      </c>
      <c r="I59" s="102">
        <f>IF((J59&gt;0),(J59-H59+E59),(I58-H59+E59))</f>
        <v>-169596.55</v>
      </c>
      <c r="J59" s="103">
        <f t="shared" si="5"/>
        <v>0</v>
      </c>
      <c r="K59" s="138"/>
      <c r="L59" s="99"/>
      <c r="M59" s="118"/>
      <c r="N59" s="99"/>
      <c r="O59" s="113">
        <f t="shared" si="10"/>
        <v>46105</v>
      </c>
      <c r="P59" s="136"/>
      <c r="Q59" s="102"/>
      <c r="R59" s="107">
        <f t="shared" si="6"/>
        <v>0</v>
      </c>
      <c r="S59" s="108"/>
      <c r="T59" s="109"/>
      <c r="U59" s="108"/>
      <c r="V59" s="127"/>
      <c r="W59" s="128"/>
    </row>
    <row r="60" spans="1:23" x14ac:dyDescent="0.25">
      <c r="A60" s="25">
        <f t="shared" si="11"/>
        <v>48</v>
      </c>
      <c r="B60" s="401">
        <f t="shared" si="11"/>
        <v>46152</v>
      </c>
      <c r="C60" s="402"/>
      <c r="D60" s="110">
        <f t="shared" si="2"/>
        <v>87000</v>
      </c>
      <c r="E60" s="99"/>
      <c r="F60" s="99"/>
      <c r="G60" s="135">
        <v>0</v>
      </c>
      <c r="H60" s="102">
        <f>('Consumption Guide'!G55*O60)/1000</f>
        <v>8990.4750000000004</v>
      </c>
      <c r="I60" s="225">
        <f t="shared" si="0"/>
        <v>-178587.02499999999</v>
      </c>
      <c r="J60" s="103">
        <f t="shared" si="5"/>
        <v>0</v>
      </c>
      <c r="K60" s="138"/>
      <c r="L60" s="99"/>
      <c r="M60" s="118"/>
      <c r="N60" s="16"/>
      <c r="O60" s="113">
        <f t="shared" si="10"/>
        <v>46105</v>
      </c>
      <c r="P60" s="136"/>
      <c r="Q60" s="102"/>
      <c r="R60" s="107">
        <f t="shared" si="6"/>
        <v>0</v>
      </c>
      <c r="S60" s="108"/>
      <c r="T60" s="109"/>
      <c r="U60" s="108"/>
      <c r="V60" s="91"/>
      <c r="W60" s="92"/>
    </row>
    <row r="61" spans="1:23" s="124" customFormat="1" x14ac:dyDescent="0.25">
      <c r="A61" s="124">
        <f t="shared" si="11"/>
        <v>49</v>
      </c>
      <c r="B61" s="401">
        <f t="shared" si="11"/>
        <v>46153</v>
      </c>
      <c r="C61" s="402"/>
      <c r="D61" s="110">
        <f>D60+E61</f>
        <v>87000</v>
      </c>
      <c r="E61" s="99"/>
      <c r="F61" s="99"/>
      <c r="G61" s="135">
        <v>0</v>
      </c>
      <c r="H61" s="102">
        <f>('Consumption Guide'!G56*O61)/1000</f>
        <v>9036.58</v>
      </c>
      <c r="I61" s="225">
        <f>IF((J61&gt;0),(J61-H61+E61),(I60-H61+E61))</f>
        <v>-187623.60499999998</v>
      </c>
      <c r="J61" s="103">
        <f t="shared" si="5"/>
        <v>0</v>
      </c>
      <c r="K61" s="138"/>
      <c r="L61" s="99"/>
      <c r="M61" s="118"/>
      <c r="N61" s="99"/>
      <c r="O61" s="113">
        <f>SUM(O60-N61)</f>
        <v>46105</v>
      </c>
      <c r="P61" s="136"/>
      <c r="Q61" s="102"/>
      <c r="R61" s="107">
        <f t="shared" si="6"/>
        <v>0</v>
      </c>
      <c r="S61" s="108"/>
      <c r="T61" s="109"/>
      <c r="U61" s="108"/>
      <c r="V61" s="127"/>
      <c r="W61" s="128"/>
    </row>
    <row r="62" spans="1:23" s="124" customFormat="1" x14ac:dyDescent="0.25">
      <c r="A62" s="124">
        <f t="shared" si="11"/>
        <v>50</v>
      </c>
      <c r="B62" s="401">
        <f t="shared" si="11"/>
        <v>46154</v>
      </c>
      <c r="C62" s="402"/>
      <c r="D62" s="110">
        <f t="shared" si="2"/>
        <v>87000</v>
      </c>
      <c r="E62" s="99"/>
      <c r="F62" s="99"/>
      <c r="G62" s="135">
        <v>0</v>
      </c>
      <c r="H62" s="102">
        <f>('Consumption Guide'!G57*O62)/1000</f>
        <v>9082.6849999999995</v>
      </c>
      <c r="I62" s="102">
        <f t="shared" si="0"/>
        <v>-196706.28999999998</v>
      </c>
      <c r="J62" s="103">
        <f t="shared" si="5"/>
        <v>0</v>
      </c>
      <c r="K62" s="138"/>
      <c r="L62" s="99"/>
      <c r="M62" s="118"/>
      <c r="N62" s="170"/>
      <c r="O62" s="113">
        <f>SUM(O61-N62)</f>
        <v>46105</v>
      </c>
      <c r="P62" s="136"/>
      <c r="Q62" s="102"/>
      <c r="R62" s="107">
        <f t="shared" si="6"/>
        <v>0</v>
      </c>
      <c r="S62" s="108"/>
      <c r="T62" s="109"/>
      <c r="U62" s="108"/>
      <c r="V62" s="127"/>
      <c r="W62" s="128"/>
    </row>
    <row r="63" spans="1:23" s="124" customFormat="1" x14ac:dyDescent="0.25">
      <c r="A63" s="124">
        <f t="shared" ref="A63:B72" si="12">A62+1</f>
        <v>51</v>
      </c>
      <c r="B63" s="401">
        <f t="shared" si="12"/>
        <v>46155</v>
      </c>
      <c r="C63" s="402"/>
      <c r="D63" s="110">
        <f t="shared" si="2"/>
        <v>87000</v>
      </c>
      <c r="E63" s="99"/>
      <c r="F63" s="99"/>
      <c r="G63" s="135">
        <v>0</v>
      </c>
      <c r="H63" s="102">
        <f>('Consumption Guide'!G58*O63)/1000</f>
        <v>9082.6849999999995</v>
      </c>
      <c r="I63" s="102">
        <f t="shared" si="0"/>
        <v>-205788.97499999998</v>
      </c>
      <c r="J63" s="103">
        <f>(K63+M63+L63)</f>
        <v>0</v>
      </c>
      <c r="K63" s="138"/>
      <c r="L63" s="99"/>
      <c r="M63" s="118"/>
      <c r="N63" s="99"/>
      <c r="O63" s="113">
        <f t="shared" si="10"/>
        <v>46105</v>
      </c>
      <c r="P63" s="143"/>
      <c r="Q63" s="102"/>
      <c r="R63" s="107">
        <f t="shared" si="6"/>
        <v>0</v>
      </c>
      <c r="S63" s="108"/>
      <c r="T63" s="109"/>
      <c r="U63" s="109"/>
      <c r="V63" s="127"/>
      <c r="W63" s="128"/>
    </row>
    <row r="64" spans="1:23" s="124" customFormat="1" x14ac:dyDescent="0.25">
      <c r="A64" s="124">
        <f t="shared" si="12"/>
        <v>52</v>
      </c>
      <c r="B64" s="401">
        <f t="shared" si="12"/>
        <v>46156</v>
      </c>
      <c r="C64" s="402"/>
      <c r="D64" s="110">
        <f t="shared" si="2"/>
        <v>87000</v>
      </c>
      <c r="E64" s="99"/>
      <c r="F64" s="99"/>
      <c r="G64" s="135">
        <v>0</v>
      </c>
      <c r="H64" s="102">
        <f>('Consumption Guide'!G59*O64)/1000</f>
        <v>9082.6849999999995</v>
      </c>
      <c r="I64" s="225">
        <f t="shared" si="0"/>
        <v>-214871.65999999997</v>
      </c>
      <c r="J64" s="103">
        <f>(K64+M64+L64)</f>
        <v>0</v>
      </c>
      <c r="K64" s="138"/>
      <c r="L64" s="99"/>
      <c r="M64" s="119"/>
      <c r="N64" s="99"/>
      <c r="O64" s="113">
        <f t="shared" si="10"/>
        <v>46105</v>
      </c>
      <c r="P64" s="136"/>
      <c r="Q64" s="102"/>
      <c r="R64" s="107">
        <f t="shared" si="6"/>
        <v>0</v>
      </c>
      <c r="S64" s="108"/>
      <c r="T64" s="109"/>
      <c r="U64" s="144"/>
      <c r="V64" s="127"/>
      <c r="W64" s="128"/>
    </row>
    <row r="65" spans="1:23" s="124" customFormat="1" x14ac:dyDescent="0.25">
      <c r="A65" s="124">
        <f t="shared" si="12"/>
        <v>53</v>
      </c>
      <c r="B65" s="401">
        <f t="shared" si="12"/>
        <v>46157</v>
      </c>
      <c r="C65" s="402"/>
      <c r="D65" s="110">
        <f t="shared" si="2"/>
        <v>87000</v>
      </c>
      <c r="E65" s="99"/>
      <c r="F65" s="99"/>
      <c r="G65" s="135">
        <v>0</v>
      </c>
      <c r="H65" s="102">
        <f>('Consumption Guide'!G60*O65)/1000</f>
        <v>9128.7900000000009</v>
      </c>
      <c r="I65" s="102">
        <f t="shared" si="0"/>
        <v>-224000.44999999998</v>
      </c>
      <c r="J65" s="103">
        <f>(K65+M65+L65)</f>
        <v>0</v>
      </c>
      <c r="K65" s="138"/>
      <c r="L65" s="99"/>
      <c r="M65" s="119"/>
      <c r="N65" s="99"/>
      <c r="O65" s="113">
        <f t="shared" si="10"/>
        <v>46105</v>
      </c>
      <c r="P65" s="136"/>
      <c r="Q65" s="102"/>
      <c r="R65" s="107">
        <f t="shared" si="6"/>
        <v>0</v>
      </c>
      <c r="S65" s="108"/>
      <c r="T65" s="109"/>
      <c r="U65" s="109"/>
      <c r="V65" s="127"/>
      <c r="W65" s="128"/>
    </row>
    <row r="66" spans="1:23" s="124" customFormat="1" x14ac:dyDescent="0.25">
      <c r="A66" s="124">
        <f t="shared" si="12"/>
        <v>54</v>
      </c>
      <c r="B66" s="401">
        <f t="shared" si="12"/>
        <v>46158</v>
      </c>
      <c r="C66" s="402"/>
      <c r="D66" s="110">
        <f t="shared" si="2"/>
        <v>87000</v>
      </c>
      <c r="E66" s="99"/>
      <c r="F66" s="99"/>
      <c r="G66" s="135">
        <v>0</v>
      </c>
      <c r="H66" s="102">
        <f>('Consumption Guide'!G61*O66)/1000</f>
        <v>9082.6849999999995</v>
      </c>
      <c r="I66" s="102">
        <f t="shared" si="0"/>
        <v>-233083.13499999998</v>
      </c>
      <c r="J66" s="103">
        <f>(K66+M66+L66)</f>
        <v>0</v>
      </c>
      <c r="K66" s="138"/>
      <c r="L66" s="99"/>
      <c r="M66" s="119"/>
      <c r="N66" s="99"/>
      <c r="O66" s="113">
        <f t="shared" si="10"/>
        <v>46105</v>
      </c>
      <c r="P66" s="173"/>
      <c r="Q66" s="102"/>
      <c r="R66" s="107">
        <f t="shared" si="6"/>
        <v>0</v>
      </c>
      <c r="S66" s="108"/>
      <c r="T66" s="109"/>
      <c r="U66" s="109"/>
      <c r="V66" s="127"/>
      <c r="W66" s="128"/>
    </row>
    <row r="67" spans="1:23" s="124" customFormat="1" x14ac:dyDescent="0.25">
      <c r="A67" s="124">
        <f t="shared" si="12"/>
        <v>55</v>
      </c>
      <c r="B67" s="401">
        <f t="shared" si="12"/>
        <v>46159</v>
      </c>
      <c r="C67" s="402"/>
      <c r="D67" s="110">
        <f t="shared" si="2"/>
        <v>87000</v>
      </c>
      <c r="E67" s="99"/>
      <c r="F67" s="99"/>
      <c r="G67" s="135">
        <v>0</v>
      </c>
      <c r="H67" s="102">
        <f>('Consumption Guide'!G62*O67)/1000</f>
        <v>9128.7900000000009</v>
      </c>
      <c r="I67" s="225">
        <f t="shared" si="0"/>
        <v>-242211.92499999999</v>
      </c>
      <c r="J67" s="103">
        <f t="shared" si="5"/>
        <v>0</v>
      </c>
      <c r="K67" s="138"/>
      <c r="L67" s="99"/>
      <c r="M67" s="119"/>
      <c r="N67" s="99"/>
      <c r="O67" s="113">
        <f t="shared" si="10"/>
        <v>46105</v>
      </c>
      <c r="P67" s="136"/>
      <c r="Q67" s="102"/>
      <c r="R67" s="107">
        <f t="shared" si="6"/>
        <v>0</v>
      </c>
      <c r="S67" s="108"/>
      <c r="T67" s="109"/>
      <c r="U67" s="109"/>
      <c r="V67" s="127"/>
      <c r="W67" s="128"/>
    </row>
    <row r="68" spans="1:23" x14ac:dyDescent="0.25">
      <c r="A68" s="25">
        <f t="shared" si="12"/>
        <v>56</v>
      </c>
      <c r="B68" s="401">
        <f t="shared" si="12"/>
        <v>46160</v>
      </c>
      <c r="C68" s="402"/>
      <c r="D68" s="110">
        <f t="shared" si="2"/>
        <v>87000</v>
      </c>
      <c r="E68" s="99"/>
      <c r="F68" s="99"/>
      <c r="G68" s="135">
        <v>0</v>
      </c>
      <c r="H68" s="102">
        <f>('Consumption Guide'!G63*O68)/1000</f>
        <v>9082.6849999999995</v>
      </c>
      <c r="I68" s="225">
        <f t="shared" si="0"/>
        <v>-251294.61</v>
      </c>
      <c r="J68" s="103">
        <f t="shared" si="5"/>
        <v>0</v>
      </c>
      <c r="K68" s="145"/>
      <c r="L68" s="97"/>
      <c r="M68" s="119"/>
      <c r="N68" s="130"/>
      <c r="O68" s="113">
        <f t="shared" si="10"/>
        <v>46105</v>
      </c>
      <c r="P68" s="136"/>
      <c r="Q68" s="102"/>
      <c r="R68" s="107">
        <f t="shared" si="6"/>
        <v>0</v>
      </c>
      <c r="S68" s="108"/>
      <c r="T68" s="109"/>
      <c r="U68" s="109"/>
      <c r="V68" s="91"/>
      <c r="W68" s="92"/>
    </row>
    <row r="69" spans="1:23" s="124" customFormat="1" x14ac:dyDescent="0.25">
      <c r="A69" s="124">
        <f t="shared" si="12"/>
        <v>57</v>
      </c>
      <c r="B69" s="401">
        <f t="shared" si="12"/>
        <v>46161</v>
      </c>
      <c r="C69" s="402"/>
      <c r="D69" s="110">
        <f t="shared" si="2"/>
        <v>87000</v>
      </c>
      <c r="E69" s="99"/>
      <c r="F69" s="99"/>
      <c r="G69" s="135">
        <f>G68-E69</f>
        <v>0</v>
      </c>
      <c r="H69" s="102">
        <f>('Consumption Guide'!G64*O69)/1000</f>
        <v>8990.4750000000004</v>
      </c>
      <c r="I69" s="225">
        <f t="shared" si="0"/>
        <v>-260285.08499999999</v>
      </c>
      <c r="J69" s="103">
        <f t="shared" si="5"/>
        <v>0</v>
      </c>
      <c r="K69" s="145"/>
      <c r="L69" s="97"/>
      <c r="M69" s="119"/>
      <c r="N69" s="130"/>
      <c r="O69" s="113">
        <f t="shared" si="10"/>
        <v>46105</v>
      </c>
      <c r="P69" s="136"/>
      <c r="Q69" s="102"/>
      <c r="R69" s="107">
        <f t="shared" si="6"/>
        <v>0</v>
      </c>
      <c r="S69" s="108"/>
      <c r="T69" s="109"/>
      <c r="U69" s="109"/>
      <c r="V69" s="127"/>
      <c r="W69" s="128"/>
    </row>
    <row r="70" spans="1:23" x14ac:dyDescent="0.25">
      <c r="A70" s="25">
        <f t="shared" si="12"/>
        <v>58</v>
      </c>
      <c r="B70" s="401">
        <f t="shared" si="12"/>
        <v>46162</v>
      </c>
      <c r="C70" s="402"/>
      <c r="D70" s="110">
        <f t="shared" si="2"/>
        <v>87000</v>
      </c>
      <c r="E70" s="99"/>
      <c r="F70" s="99"/>
      <c r="G70" s="135">
        <f>G69-E70</f>
        <v>0</v>
      </c>
      <c r="H70" s="102">
        <f>('Consumption Guide'!G65*O70)/1000</f>
        <v>8990.4750000000004</v>
      </c>
      <c r="I70" s="225">
        <f t="shared" si="0"/>
        <v>-269275.56</v>
      </c>
      <c r="J70" s="103">
        <v>0</v>
      </c>
      <c r="K70" s="146"/>
      <c r="L70" s="147"/>
      <c r="M70" s="148"/>
      <c r="N70" s="130"/>
      <c r="O70" s="102">
        <f t="shared" si="10"/>
        <v>46105</v>
      </c>
      <c r="P70" s="107"/>
      <c r="Q70" s="102"/>
      <c r="R70" s="107">
        <f t="shared" si="6"/>
        <v>0</v>
      </c>
      <c r="S70" s="108"/>
      <c r="T70" s="109"/>
      <c r="U70" s="109"/>
      <c r="V70" s="91"/>
      <c r="W70" s="23"/>
    </row>
    <row r="71" spans="1:23" x14ac:dyDescent="0.25">
      <c r="A71" s="25">
        <f t="shared" si="12"/>
        <v>59</v>
      </c>
      <c r="B71" s="401">
        <f t="shared" si="12"/>
        <v>46163</v>
      </c>
      <c r="C71" s="402"/>
      <c r="D71" s="110">
        <f t="shared" si="2"/>
        <v>87000</v>
      </c>
      <c r="E71" s="99"/>
      <c r="F71" s="99"/>
      <c r="G71" s="99"/>
      <c r="H71" s="102">
        <f>('Consumption Guide'!G66*O71)/1000</f>
        <v>8990.4750000000004</v>
      </c>
      <c r="I71" s="225">
        <f t="shared" si="0"/>
        <v>-278266.03499999997</v>
      </c>
      <c r="J71" s="103">
        <f t="shared" si="5"/>
        <v>0</v>
      </c>
      <c r="K71" s="146"/>
      <c r="L71" s="147"/>
      <c r="M71" s="148"/>
      <c r="N71" s="130"/>
      <c r="O71" s="102">
        <f t="shared" si="10"/>
        <v>46105</v>
      </c>
      <c r="P71" s="136"/>
      <c r="Q71" s="102"/>
      <c r="R71" s="107">
        <f t="shared" si="6"/>
        <v>0</v>
      </c>
      <c r="S71" s="108"/>
      <c r="T71" s="109"/>
      <c r="U71" s="109"/>
      <c r="V71" s="91"/>
      <c r="W71" s="23"/>
    </row>
    <row r="72" spans="1:23" ht="23.25" thickBot="1" x14ac:dyDescent="0.3">
      <c r="A72" s="25">
        <f t="shared" si="12"/>
        <v>60</v>
      </c>
      <c r="B72" s="403"/>
      <c r="C72" s="404"/>
      <c r="D72" s="149">
        <f t="shared" si="2"/>
        <v>87000</v>
      </c>
      <c r="E72" s="150"/>
      <c r="F72" s="150"/>
      <c r="G72" s="150"/>
      <c r="H72" s="151">
        <f>('Consumption Guide'!G67*O72)/1000</f>
        <v>8990.4750000000004</v>
      </c>
      <c r="I72" s="227">
        <f t="shared" si="0"/>
        <v>-287256.50999999995</v>
      </c>
      <c r="J72" s="152">
        <f t="shared" si="5"/>
        <v>0</v>
      </c>
      <c r="K72" s="153"/>
      <c r="L72" s="154"/>
      <c r="M72" s="155"/>
      <c r="N72" s="156"/>
      <c r="O72" s="151">
        <f t="shared" si="10"/>
        <v>46105</v>
      </c>
      <c r="P72" s="157"/>
      <c r="Q72" s="158"/>
      <c r="R72" s="107">
        <f t="shared" si="6"/>
        <v>0</v>
      </c>
      <c r="S72" s="108"/>
      <c r="T72" s="109"/>
      <c r="U72" s="109"/>
      <c r="V72" s="91"/>
      <c r="W72" s="23"/>
    </row>
    <row r="73" spans="1:23" x14ac:dyDescent="0.25">
      <c r="A73" s="83"/>
      <c r="B73" s="159"/>
      <c r="C73" s="160"/>
      <c r="D73" s="78"/>
      <c r="E73" s="78"/>
      <c r="F73" s="78"/>
      <c r="G73" s="78"/>
      <c r="H73" s="66"/>
      <c r="I73" s="66"/>
      <c r="J73" s="161"/>
      <c r="K73" s="405" t="s">
        <v>50</v>
      </c>
      <c r="L73" s="406"/>
      <c r="M73" s="407"/>
      <c r="N73" s="42">
        <f>N51</f>
        <v>0</v>
      </c>
      <c r="O73" s="66"/>
      <c r="P73" s="67"/>
      <c r="Q73" s="39"/>
      <c r="R73" s="39"/>
      <c r="S73" s="162"/>
      <c r="T73" s="90"/>
      <c r="U73" s="89"/>
      <c r="V73" s="91"/>
    </row>
    <row r="74" spans="1:23" x14ac:dyDescent="0.25">
      <c r="B74" s="163"/>
      <c r="C74" s="164"/>
      <c r="D74" s="19"/>
      <c r="E74" s="19"/>
      <c r="F74" s="19"/>
      <c r="G74" s="19"/>
      <c r="H74" s="39"/>
      <c r="I74" s="39"/>
      <c r="J74" s="17"/>
      <c r="K74" s="408" t="s">
        <v>51</v>
      </c>
      <c r="L74" s="409"/>
      <c r="M74" s="410"/>
      <c r="N74" s="165">
        <f>N44+N46+N47+N54+N55+N63+N64</f>
        <v>0</v>
      </c>
      <c r="O74" s="39"/>
      <c r="P74" s="29"/>
      <c r="Q74" s="39"/>
      <c r="R74" s="39"/>
      <c r="S74" s="89"/>
      <c r="T74" s="90"/>
      <c r="U74" s="89"/>
      <c r="V74" s="91"/>
    </row>
    <row r="75" spans="1:23" x14ac:dyDescent="0.25">
      <c r="B75" s="163"/>
      <c r="C75" s="411" t="s">
        <v>45</v>
      </c>
      <c r="D75" s="412"/>
      <c r="E75" s="166">
        <f>SUM(E12:E72)</f>
        <v>87000</v>
      </c>
      <c r="F75" s="19"/>
      <c r="G75" s="19">
        <f>SUM(E47:E65)</f>
        <v>0</v>
      </c>
      <c r="H75" s="39"/>
      <c r="I75" s="39"/>
      <c r="J75" s="17"/>
      <c r="K75" s="161"/>
      <c r="L75" s="161"/>
      <c r="M75" s="161"/>
      <c r="N75" s="17"/>
      <c r="O75" s="39"/>
      <c r="P75" s="29"/>
      <c r="Q75" s="39"/>
      <c r="R75" s="39"/>
      <c r="S75" s="89"/>
      <c r="T75" s="90"/>
      <c r="U75" s="89"/>
      <c r="V75" s="91"/>
    </row>
    <row r="76" spans="1:23" x14ac:dyDescent="0.25">
      <c r="B76" s="163"/>
      <c r="C76" s="164"/>
      <c r="D76" s="19"/>
      <c r="E76" s="19"/>
      <c r="F76" s="19"/>
      <c r="G76" s="19"/>
      <c r="H76" s="39"/>
      <c r="I76" s="39"/>
      <c r="J76" s="17"/>
      <c r="K76" s="17"/>
      <c r="L76" s="17"/>
      <c r="M76" s="17"/>
      <c r="N76" s="17"/>
      <c r="O76" s="39"/>
      <c r="P76" s="29"/>
      <c r="Q76" s="39"/>
      <c r="R76" s="39"/>
      <c r="S76" s="89"/>
      <c r="T76" s="90"/>
      <c r="U76" s="89"/>
      <c r="V76" s="91"/>
    </row>
    <row r="77" spans="1:23" x14ac:dyDescent="0.25">
      <c r="B77" s="163"/>
      <c r="C77" s="164"/>
      <c r="D77" s="167">
        <f>E75/C2</f>
        <v>1.8869970719010953</v>
      </c>
      <c r="E77" s="168" t="s">
        <v>46</v>
      </c>
      <c r="F77" s="19"/>
      <c r="G77" s="19"/>
      <c r="H77" s="39"/>
      <c r="I77" s="39"/>
      <c r="J77" s="17"/>
      <c r="K77" s="17"/>
      <c r="L77" s="17"/>
      <c r="M77" s="17"/>
      <c r="N77" s="17"/>
      <c r="O77" s="39"/>
      <c r="P77" s="29"/>
      <c r="Q77" s="39"/>
      <c r="R77" s="39"/>
      <c r="S77" s="89"/>
      <c r="T77" s="90"/>
      <c r="U77" s="89"/>
      <c r="V77" s="91"/>
    </row>
    <row r="78" spans="1:23" x14ac:dyDescent="0.25">
      <c r="B78" s="163"/>
      <c r="C78" s="164"/>
      <c r="D78" s="19"/>
      <c r="E78" s="19"/>
      <c r="F78" s="19"/>
      <c r="G78" s="19"/>
      <c r="H78" s="39"/>
      <c r="I78" s="39"/>
      <c r="J78" s="17"/>
      <c r="K78" s="17"/>
      <c r="L78" s="17"/>
      <c r="M78" s="17"/>
      <c r="N78" s="17"/>
      <c r="O78" s="39">
        <f>N33+N51</f>
        <v>0</v>
      </c>
      <c r="P78" s="29"/>
      <c r="Q78" s="39"/>
      <c r="R78" s="17"/>
      <c r="S78" s="89"/>
      <c r="T78" s="90"/>
      <c r="U78" s="89"/>
      <c r="V78" s="91"/>
    </row>
  </sheetData>
  <mergeCells count="65">
    <mergeCell ref="B22:C22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6:C4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58:C5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K73:M73"/>
    <mergeCell ref="K74:M74"/>
    <mergeCell ref="C75:D75"/>
  </mergeCells>
  <conditionalFormatting sqref="I13:I72">
    <cfRule type="expression" dxfId="1" priority="1">
      <formula>$I13:$I72&lt;0.001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N78"/>
  <sheetViews>
    <sheetView zoomScale="70" zoomScaleNormal="70" workbookViewId="0">
      <pane ySplit="10" topLeftCell="A11" activePane="bottomLeft" state="frozen"/>
      <selection activeCell="K39" sqref="K39:K40"/>
      <selection pane="bottomLeft" activeCell="E17" sqref="E17"/>
    </sheetView>
  </sheetViews>
  <sheetFormatPr defaultColWidth="14.6953125" defaultRowHeight="22.5" x14ac:dyDescent="0.25"/>
  <cols>
    <col min="1" max="1" width="5.52734375" style="25" customWidth="1"/>
    <col min="2" max="2" width="16.5859375" style="25" customWidth="1"/>
    <col min="3" max="3" width="38.43359375" style="25" customWidth="1"/>
    <col min="4" max="4" width="14.5625" style="57" customWidth="1"/>
    <col min="5" max="5" width="17.6640625" style="57" customWidth="1"/>
    <col min="6" max="6" width="10.11328125" style="57" customWidth="1"/>
    <col min="7" max="7" width="14.5625" style="57" customWidth="1"/>
    <col min="8" max="8" width="14.5625" style="25" customWidth="1"/>
    <col min="9" max="9" width="14.29296875" style="25" customWidth="1"/>
    <col min="10" max="10" width="12.40625" style="25" customWidth="1"/>
    <col min="11" max="11" width="11.59375" style="25" customWidth="1"/>
    <col min="12" max="12" width="12.13671875" style="25" customWidth="1"/>
    <col min="13" max="13" width="11.4609375" style="25" customWidth="1"/>
    <col min="14" max="14" width="16.046875" style="25" customWidth="1"/>
    <col min="15" max="15" width="13.6171875" style="25" customWidth="1"/>
    <col min="16" max="16" width="8.359375" style="169" customWidth="1"/>
    <col min="17" max="17" width="9.4375" style="25" bestFit="1" customWidth="1"/>
    <col min="18" max="18" width="16.98828125" style="25" customWidth="1"/>
    <col min="19" max="19" width="15.37109375" style="24" bestFit="1" customWidth="1"/>
    <col min="20" max="20" width="12.67578125" style="23" customWidth="1"/>
    <col min="21" max="21" width="15.37109375" style="24" bestFit="1" customWidth="1"/>
    <col min="22" max="22" width="12.5390625" style="23" customWidth="1"/>
    <col min="23" max="23" width="11.59375" style="24" customWidth="1"/>
    <col min="24" max="16384" width="14.6953125" style="25"/>
  </cols>
  <sheetData>
    <row r="1" spans="1:40" x14ac:dyDescent="0.25">
      <c r="A1" s="17" t="s">
        <v>28</v>
      </c>
      <c r="B1" s="17"/>
      <c r="C1" s="18" t="s">
        <v>91</v>
      </c>
      <c r="D1" s="19"/>
      <c r="E1" s="19" t="s">
        <v>0</v>
      </c>
      <c r="F1" s="19"/>
      <c r="G1" s="223" t="s">
        <v>94</v>
      </c>
      <c r="H1" s="19"/>
      <c r="I1" s="19"/>
      <c r="J1" s="17"/>
      <c r="K1" s="17"/>
      <c r="L1" s="17"/>
      <c r="M1" s="17"/>
      <c r="N1" s="17"/>
      <c r="O1" s="17"/>
      <c r="P1" s="20"/>
      <c r="Q1" s="17"/>
      <c r="R1" s="17"/>
      <c r="S1" s="21"/>
      <c r="T1" s="22"/>
      <c r="U1" s="21"/>
    </row>
    <row r="2" spans="1:40" ht="21.2" customHeight="1" x14ac:dyDescent="0.25">
      <c r="A2" s="17" t="s">
        <v>29</v>
      </c>
      <c r="B2" s="17"/>
      <c r="C2" s="19">
        <f>C4+C5+C6</f>
        <v>99000</v>
      </c>
      <c r="D2" s="19"/>
      <c r="E2" s="19"/>
      <c r="F2" s="19"/>
      <c r="G2" s="26" t="s">
        <v>30</v>
      </c>
      <c r="H2" s="27">
        <f>(C2*0.325)</f>
        <v>32175</v>
      </c>
      <c r="I2" s="28" t="s">
        <v>31</v>
      </c>
      <c r="J2" s="17"/>
      <c r="K2" s="17"/>
      <c r="L2" s="17"/>
      <c r="M2" s="17"/>
      <c r="N2" s="17"/>
      <c r="O2" s="17"/>
      <c r="P2" s="29"/>
      <c r="Q2" s="17"/>
      <c r="R2" s="29"/>
      <c r="S2" s="21"/>
      <c r="T2" s="22"/>
      <c r="U2" s="21"/>
    </row>
    <row r="3" spans="1:40" ht="22.15" customHeight="1" x14ac:dyDescent="0.25">
      <c r="A3" s="17" t="s">
        <v>32</v>
      </c>
      <c r="B3" s="17"/>
      <c r="C3" s="30">
        <v>46107</v>
      </c>
      <c r="D3" s="19"/>
      <c r="E3" s="19"/>
      <c r="F3" s="19"/>
      <c r="G3" s="31" t="s">
        <v>4</v>
      </c>
      <c r="H3" s="32">
        <f>(C2*1.15)</f>
        <v>113849.99999999999</v>
      </c>
      <c r="I3" s="32" t="s">
        <v>31</v>
      </c>
      <c r="J3" s="413"/>
      <c r="K3" s="414"/>
      <c r="L3" s="414"/>
      <c r="M3" s="415"/>
      <c r="N3" s="33" t="s">
        <v>75</v>
      </c>
      <c r="O3" s="17"/>
      <c r="P3" s="29"/>
      <c r="Q3" s="17"/>
      <c r="R3" s="29"/>
      <c r="S3" s="21"/>
      <c r="T3" s="22"/>
      <c r="U3" s="21"/>
    </row>
    <row r="4" spans="1:40" ht="19.899999999999999" customHeight="1" x14ac:dyDescent="0.25">
      <c r="A4" s="17"/>
      <c r="B4" s="33" t="s">
        <v>100</v>
      </c>
      <c r="C4" s="34">
        <v>49500</v>
      </c>
      <c r="D4" s="35"/>
      <c r="E4" s="19"/>
      <c r="F4" s="19"/>
      <c r="G4" s="36" t="s">
        <v>11</v>
      </c>
      <c r="H4" s="37">
        <f>(C2*1.7)</f>
        <v>168300</v>
      </c>
      <c r="I4" s="37" t="s">
        <v>31</v>
      </c>
      <c r="J4" s="416" t="s">
        <v>58</v>
      </c>
      <c r="K4" s="417"/>
      <c r="L4" s="417"/>
      <c r="M4" s="418"/>
      <c r="N4" s="33" t="s">
        <v>76</v>
      </c>
      <c r="O4" s="17"/>
      <c r="P4" s="29"/>
      <c r="Q4" s="17"/>
      <c r="R4" s="17"/>
      <c r="S4" s="21"/>
      <c r="T4" s="22"/>
      <c r="U4" s="21"/>
    </row>
    <row r="5" spans="1:40" ht="19.7" customHeight="1" x14ac:dyDescent="0.25">
      <c r="A5" s="17"/>
      <c r="B5" s="33" t="s">
        <v>101</v>
      </c>
      <c r="C5" s="34">
        <v>49500</v>
      </c>
      <c r="D5" s="35"/>
      <c r="E5" s="19"/>
      <c r="F5" s="19"/>
      <c r="G5" s="19" t="s">
        <v>33</v>
      </c>
      <c r="H5" s="17">
        <f>C2*1.5</f>
        <v>148500</v>
      </c>
      <c r="I5" s="38" t="s">
        <v>31</v>
      </c>
      <c r="J5" s="17"/>
      <c r="K5" s="17"/>
      <c r="L5" s="17"/>
      <c r="M5" s="17"/>
      <c r="N5" s="39"/>
      <c r="O5" s="39"/>
      <c r="P5" s="29"/>
      <c r="Q5" s="39"/>
      <c r="R5" s="29"/>
      <c r="S5" s="21"/>
      <c r="T5" s="22"/>
      <c r="U5" s="21"/>
    </row>
    <row r="6" spans="1:40" ht="48" customHeight="1" x14ac:dyDescent="0.25">
      <c r="A6" s="17"/>
      <c r="B6" s="17"/>
      <c r="C6" s="40"/>
      <c r="D6" s="35"/>
      <c r="E6" s="19"/>
      <c r="F6" s="19"/>
      <c r="G6" s="19"/>
      <c r="H6" s="17"/>
      <c r="I6" s="41"/>
      <c r="J6" s="17"/>
      <c r="K6" s="17"/>
      <c r="L6" s="17"/>
      <c r="M6" s="17"/>
      <c r="N6" s="39"/>
      <c r="O6" s="39"/>
      <c r="P6" s="29"/>
      <c r="Q6" s="42"/>
      <c r="R6" s="43" t="s">
        <v>54</v>
      </c>
      <c r="S6" s="44" t="s">
        <v>56</v>
      </c>
      <c r="T6" s="45"/>
      <c r="U6" s="44" t="s">
        <v>56</v>
      </c>
      <c r="V6" s="45"/>
    </row>
    <row r="7" spans="1:40" x14ac:dyDescent="0.25">
      <c r="A7" s="17"/>
      <c r="B7" s="17"/>
      <c r="C7" s="17"/>
      <c r="D7" s="19" t="s">
        <v>26</v>
      </c>
      <c r="E7" s="19"/>
      <c r="F7" s="19"/>
      <c r="G7" s="19"/>
      <c r="H7" s="17"/>
      <c r="I7" s="17"/>
      <c r="J7" s="17"/>
      <c r="K7" s="19"/>
      <c r="L7" s="19"/>
      <c r="M7" s="19"/>
      <c r="N7" s="39"/>
      <c r="O7" s="39"/>
      <c r="P7" s="29"/>
      <c r="Q7" s="46" t="s">
        <v>18</v>
      </c>
      <c r="R7" s="43" t="s">
        <v>18</v>
      </c>
      <c r="S7" s="44" t="s">
        <v>57</v>
      </c>
      <c r="T7" s="45"/>
      <c r="U7" s="47" t="s">
        <v>57</v>
      </c>
      <c r="V7" s="45"/>
    </row>
    <row r="8" spans="1:40" s="57" customFormat="1" ht="42.75" thickBot="1" x14ac:dyDescent="0.3">
      <c r="A8" s="48" t="s">
        <v>15</v>
      </c>
      <c r="B8" s="48" t="s">
        <v>16</v>
      </c>
      <c r="C8" s="48" t="s">
        <v>17</v>
      </c>
      <c r="D8" s="48" t="s">
        <v>18</v>
      </c>
      <c r="E8" s="48" t="s">
        <v>34</v>
      </c>
      <c r="F8" s="48"/>
      <c r="G8" s="48" t="s">
        <v>18</v>
      </c>
      <c r="H8" s="48" t="s">
        <v>18</v>
      </c>
      <c r="I8" s="48" t="s">
        <v>18</v>
      </c>
      <c r="J8" s="48" t="s">
        <v>19</v>
      </c>
      <c r="K8" s="49" t="s">
        <v>19</v>
      </c>
      <c r="L8" s="49" t="s">
        <v>19</v>
      </c>
      <c r="M8" s="49" t="s">
        <v>19</v>
      </c>
      <c r="N8" s="48" t="s">
        <v>21</v>
      </c>
      <c r="O8" s="48" t="s">
        <v>22</v>
      </c>
      <c r="P8" s="50" t="s">
        <v>0</v>
      </c>
      <c r="Q8" s="51" t="s">
        <v>52</v>
      </c>
      <c r="R8" s="52" t="s">
        <v>55</v>
      </c>
      <c r="S8" s="53" t="s">
        <v>62</v>
      </c>
      <c r="T8" s="54" t="s">
        <v>59</v>
      </c>
      <c r="U8" s="55" t="s">
        <v>63</v>
      </c>
      <c r="V8" s="54" t="s">
        <v>59</v>
      </c>
      <c r="W8" s="24"/>
      <c r="X8" s="56"/>
      <c r="AA8" s="56"/>
      <c r="AB8" s="58"/>
      <c r="AD8" s="56"/>
      <c r="AE8" s="58"/>
      <c r="AF8" s="59"/>
      <c r="AG8" s="56"/>
      <c r="AH8" s="59"/>
      <c r="AI8" s="56"/>
      <c r="AJ8" s="59"/>
      <c r="AK8" s="59"/>
      <c r="AL8" s="59"/>
    </row>
    <row r="9" spans="1:40" s="73" customFormat="1" ht="21.2" customHeight="1" thickBot="1" x14ac:dyDescent="0.3">
      <c r="A9" s="60"/>
      <c r="B9" s="61"/>
      <c r="C9" s="62">
        <v>43297</v>
      </c>
      <c r="D9" s="61" t="s">
        <v>35</v>
      </c>
      <c r="E9" s="61" t="s">
        <v>36</v>
      </c>
      <c r="F9" s="61" t="s">
        <v>19</v>
      </c>
      <c r="G9" s="61" t="s">
        <v>23</v>
      </c>
      <c r="H9" s="61" t="s">
        <v>24</v>
      </c>
      <c r="I9" s="61" t="s">
        <v>25</v>
      </c>
      <c r="J9" s="61" t="s">
        <v>26</v>
      </c>
      <c r="K9" s="228" t="s">
        <v>37</v>
      </c>
      <c r="L9" s="61" t="s">
        <v>38</v>
      </c>
      <c r="M9" s="61" t="s">
        <v>39</v>
      </c>
      <c r="N9" s="63" t="s">
        <v>49</v>
      </c>
      <c r="O9" s="64" t="s">
        <v>27</v>
      </c>
      <c r="P9" s="65" t="s">
        <v>53</v>
      </c>
      <c r="Q9" s="66"/>
      <c r="R9" s="67"/>
      <c r="S9" s="68"/>
      <c r="T9" s="69"/>
      <c r="U9" s="68"/>
      <c r="V9" s="70"/>
      <c r="W9" s="71" t="s">
        <v>15</v>
      </c>
      <c r="X9" s="72"/>
      <c r="AA9" s="72"/>
      <c r="AB9" s="74"/>
      <c r="AD9" s="72"/>
      <c r="AE9" s="74"/>
      <c r="AF9" s="75"/>
      <c r="AG9" s="72"/>
      <c r="AH9" s="75"/>
      <c r="AI9" s="72"/>
      <c r="AJ9" s="75"/>
      <c r="AK9" s="75"/>
      <c r="AL9" s="75"/>
    </row>
    <row r="10" spans="1:40" s="83" customFormat="1" ht="15" hidden="1" customHeight="1" x14ac:dyDescent="0.25">
      <c r="A10" s="76"/>
      <c r="B10" s="77"/>
      <c r="C10" s="77"/>
      <c r="D10" s="78"/>
      <c r="E10" s="78"/>
      <c r="F10" s="78"/>
      <c r="G10" s="78"/>
      <c r="H10" s="77"/>
      <c r="I10" s="77"/>
      <c r="J10" s="77"/>
      <c r="K10" s="79"/>
      <c r="L10" s="79"/>
      <c r="M10" s="79"/>
      <c r="N10" s="66"/>
      <c r="O10" s="66"/>
      <c r="P10" s="67"/>
      <c r="Q10" s="39"/>
      <c r="R10" s="29"/>
      <c r="S10" s="80"/>
      <c r="T10" s="22"/>
      <c r="U10" s="80"/>
      <c r="V10" s="81"/>
      <c r="W10" s="82"/>
    </row>
    <row r="11" spans="1:40" x14ac:dyDescent="0.25">
      <c r="B11" s="17"/>
      <c r="C11" s="84"/>
      <c r="D11" s="19"/>
      <c r="E11" s="85"/>
      <c r="F11" s="85"/>
      <c r="G11" s="85"/>
      <c r="H11" s="17"/>
      <c r="I11" s="225"/>
      <c r="J11" s="20"/>
      <c r="K11" s="86"/>
      <c r="L11" s="87"/>
      <c r="M11" s="88"/>
      <c r="N11" s="39"/>
      <c r="O11" s="39"/>
      <c r="P11" s="29"/>
      <c r="Q11" s="39"/>
      <c r="R11" s="29"/>
      <c r="S11" s="89"/>
      <c r="T11" s="90"/>
      <c r="U11" s="89"/>
      <c r="V11" s="91"/>
      <c r="W11" s="92"/>
      <c r="X11" s="93"/>
      <c r="Y11" s="94"/>
      <c r="Z11" s="94"/>
      <c r="AA11" s="93"/>
      <c r="AB11" s="94"/>
      <c r="AC11" s="94"/>
      <c r="AD11" s="93"/>
      <c r="AE11" s="94"/>
      <c r="AF11" s="95"/>
      <c r="AG11" s="93"/>
      <c r="AH11" s="95"/>
      <c r="AI11" s="93"/>
      <c r="AJ11" s="95"/>
      <c r="AK11" s="93"/>
      <c r="AL11" s="96"/>
      <c r="AM11" s="95"/>
      <c r="AN11" s="95"/>
    </row>
    <row r="12" spans="1:40" x14ac:dyDescent="0.25">
      <c r="B12" s="97"/>
      <c r="C12" s="98"/>
      <c r="D12" s="99"/>
      <c r="E12" s="100"/>
      <c r="F12" s="100"/>
      <c r="G12" s="101">
        <f>H2</f>
        <v>32175</v>
      </c>
      <c r="H12" s="97">
        <v>0</v>
      </c>
      <c r="I12" s="225">
        <f t="shared" ref="I12:I72" si="0">IF((J12&gt;0),(J12-H12+E12),(I11-H12+E12))</f>
        <v>0</v>
      </c>
      <c r="J12" s="103">
        <f>(K12+M12+L12)</f>
        <v>0</v>
      </c>
      <c r="K12" s="104"/>
      <c r="L12" s="105"/>
      <c r="M12" s="106"/>
      <c r="N12" s="102"/>
      <c r="O12" s="102"/>
      <c r="P12" s="107"/>
      <c r="Q12" s="102"/>
      <c r="R12" s="107"/>
      <c r="S12" s="108"/>
      <c r="T12" s="109"/>
      <c r="U12" s="108"/>
      <c r="V12" s="91"/>
      <c r="W12" s="92"/>
      <c r="X12" s="93"/>
      <c r="Y12" s="94"/>
      <c r="Z12" s="94"/>
      <c r="AA12" s="93"/>
      <c r="AB12" s="94"/>
      <c r="AC12" s="94"/>
      <c r="AD12" s="93"/>
      <c r="AE12" s="94"/>
      <c r="AF12" s="95"/>
      <c r="AG12" s="93"/>
      <c r="AH12" s="95"/>
      <c r="AI12" s="93"/>
      <c r="AJ12" s="95"/>
      <c r="AK12" s="93"/>
      <c r="AL12" s="96"/>
      <c r="AM12" s="95"/>
      <c r="AN12" s="95"/>
    </row>
    <row r="13" spans="1:40" x14ac:dyDescent="0.25">
      <c r="A13" s="25">
        <v>1</v>
      </c>
      <c r="B13" s="401">
        <f>C3</f>
        <v>46107</v>
      </c>
      <c r="C13" s="402"/>
      <c r="D13" s="110">
        <f>E13</f>
        <v>29000</v>
      </c>
      <c r="E13" s="268">
        <v>29000</v>
      </c>
      <c r="F13" s="268" t="s">
        <v>95</v>
      </c>
      <c r="G13" s="111">
        <f t="shared" ref="G13:G21" si="1">G12-E13</f>
        <v>3175</v>
      </c>
      <c r="H13" s="102">
        <f>('Consumption Guide'!G8*O13)/1000</f>
        <v>2178</v>
      </c>
      <c r="I13" s="225">
        <f t="shared" si="0"/>
        <v>62822</v>
      </c>
      <c r="J13" s="103">
        <f>(K13+M13+L13)</f>
        <v>36000</v>
      </c>
      <c r="K13" s="104">
        <v>12000</v>
      </c>
      <c r="L13" s="105">
        <v>12000</v>
      </c>
      <c r="M13" s="106">
        <v>12000</v>
      </c>
      <c r="N13" s="112"/>
      <c r="O13" s="102">
        <f>SUM(C2-N13)</f>
        <v>99000</v>
      </c>
      <c r="P13" s="107"/>
      <c r="Q13" s="102"/>
      <c r="R13" s="107"/>
      <c r="S13" s="108"/>
      <c r="T13" s="109"/>
      <c r="U13" s="108"/>
      <c r="V13" s="91"/>
      <c r="W13" s="92"/>
      <c r="X13" s="93"/>
      <c r="Y13" s="94"/>
      <c r="Z13" s="94"/>
      <c r="AA13" s="93"/>
      <c r="AB13" s="94"/>
      <c r="AC13" s="94"/>
      <c r="AD13" s="93"/>
      <c r="AE13" s="94"/>
      <c r="AF13" s="95"/>
      <c r="AG13" s="93"/>
      <c r="AH13" s="95"/>
      <c r="AI13" s="93"/>
      <c r="AJ13" s="95"/>
      <c r="AK13" s="93"/>
      <c r="AL13" s="96"/>
      <c r="AM13" s="95"/>
      <c r="AN13" s="95"/>
    </row>
    <row r="14" spans="1:40" x14ac:dyDescent="0.25">
      <c r="A14" s="25">
        <f>A13+1</f>
        <v>2</v>
      </c>
      <c r="B14" s="401">
        <f>B13+1</f>
        <v>46108</v>
      </c>
      <c r="C14" s="402"/>
      <c r="D14" s="110">
        <f t="shared" ref="D14:D72" si="2">D13+E14</f>
        <v>41000</v>
      </c>
      <c r="E14" s="114">
        <v>12000</v>
      </c>
      <c r="F14" s="114"/>
      <c r="G14" s="111">
        <f t="shared" si="1"/>
        <v>-8825</v>
      </c>
      <c r="H14" s="102">
        <f>('Consumption Guide'!G9*O14)/1000</f>
        <v>2376</v>
      </c>
      <c r="I14" s="225">
        <f t="shared" si="0"/>
        <v>49624</v>
      </c>
      <c r="J14" s="103">
        <f>(K14+M14+L14)</f>
        <v>40000</v>
      </c>
      <c r="K14" s="104">
        <v>12000</v>
      </c>
      <c r="L14" s="116">
        <v>16000</v>
      </c>
      <c r="M14" s="119">
        <v>12000</v>
      </c>
      <c r="N14" s="112"/>
      <c r="O14" s="102">
        <f t="shared" ref="O14:O45" si="3">SUM(O13-N14)</f>
        <v>99000</v>
      </c>
      <c r="P14" s="107"/>
      <c r="Q14" s="102"/>
      <c r="R14" s="107">
        <f>Q14+R13</f>
        <v>0</v>
      </c>
      <c r="S14" s="108"/>
      <c r="T14" s="109"/>
      <c r="U14" s="108"/>
      <c r="V14" s="91"/>
      <c r="W14" s="92"/>
      <c r="X14" s="93"/>
      <c r="Y14" s="94"/>
      <c r="Z14" s="94"/>
      <c r="AA14" s="93"/>
      <c r="AB14" s="94"/>
      <c r="AC14" s="94"/>
      <c r="AD14" s="93"/>
      <c r="AE14" s="94"/>
      <c r="AF14" s="95"/>
      <c r="AG14" s="93"/>
      <c r="AH14" s="95"/>
      <c r="AI14" s="93"/>
      <c r="AJ14" s="95"/>
      <c r="AK14" s="93"/>
      <c r="AL14" s="96"/>
      <c r="AM14" s="95"/>
      <c r="AN14" s="95"/>
    </row>
    <row r="15" spans="1:40" x14ac:dyDescent="0.25">
      <c r="A15" s="25">
        <f t="shared" ref="A15:B30" si="4">A14+1</f>
        <v>3</v>
      </c>
      <c r="B15" s="401">
        <f t="shared" si="4"/>
        <v>46109</v>
      </c>
      <c r="C15" s="402"/>
      <c r="D15" s="110">
        <f t="shared" si="2"/>
        <v>41000</v>
      </c>
      <c r="E15" s="114"/>
      <c r="F15" s="114"/>
      <c r="G15" s="111">
        <f t="shared" si="1"/>
        <v>-8825</v>
      </c>
      <c r="H15" s="102">
        <f>('Consumption Guide'!G10*O15)/1000</f>
        <v>2574</v>
      </c>
      <c r="I15" s="225">
        <f t="shared" si="0"/>
        <v>47050</v>
      </c>
      <c r="J15" s="103">
        <f t="shared" ref="J15:J72" si="5">(K15+M15+L15)</f>
        <v>0</v>
      </c>
      <c r="K15" s="104"/>
      <c r="L15" s="116"/>
      <c r="M15" s="121"/>
      <c r="N15" s="112"/>
      <c r="O15" s="113">
        <f t="shared" si="3"/>
        <v>99000</v>
      </c>
      <c r="P15" s="107"/>
      <c r="Q15" s="102"/>
      <c r="R15" s="107">
        <f t="shared" ref="R15:R72" si="6">Q15+R14</f>
        <v>0</v>
      </c>
      <c r="S15" s="108"/>
      <c r="T15" s="109"/>
      <c r="U15" s="108"/>
      <c r="V15" s="91"/>
      <c r="W15" s="92"/>
      <c r="X15" s="93"/>
      <c r="Y15" s="94"/>
      <c r="Z15" s="94"/>
      <c r="AA15" s="93"/>
      <c r="AB15" s="94"/>
      <c r="AC15" s="94"/>
      <c r="AD15" s="93"/>
      <c r="AE15" s="94"/>
      <c r="AF15" s="95"/>
      <c r="AG15" s="93"/>
      <c r="AH15" s="95"/>
      <c r="AI15" s="93"/>
      <c r="AJ15" s="95"/>
      <c r="AK15" s="93"/>
      <c r="AL15" s="96"/>
      <c r="AM15" s="95"/>
      <c r="AN15" s="95"/>
    </row>
    <row r="16" spans="1:40" x14ac:dyDescent="0.25">
      <c r="A16" s="25">
        <f t="shared" si="4"/>
        <v>4</v>
      </c>
      <c r="B16" s="401">
        <f t="shared" si="4"/>
        <v>46110</v>
      </c>
      <c r="C16" s="402"/>
      <c r="D16" s="110">
        <f t="shared" si="2"/>
        <v>53000</v>
      </c>
      <c r="E16" s="114">
        <v>12000</v>
      </c>
      <c r="F16" s="114"/>
      <c r="G16" s="111">
        <f t="shared" si="1"/>
        <v>-20825</v>
      </c>
      <c r="H16" s="102">
        <f>('Consumption Guide'!G11*O16)/1000</f>
        <v>2772</v>
      </c>
      <c r="I16" s="225">
        <f t="shared" si="0"/>
        <v>56278</v>
      </c>
      <c r="J16" s="103">
        <f t="shared" si="5"/>
        <v>0</v>
      </c>
      <c r="K16" s="104"/>
      <c r="L16" s="116"/>
      <c r="M16" s="119"/>
      <c r="N16" s="112"/>
      <c r="O16" s="113">
        <f t="shared" si="3"/>
        <v>99000</v>
      </c>
      <c r="P16" s="107"/>
      <c r="Q16" s="102"/>
      <c r="R16" s="107">
        <f t="shared" si="6"/>
        <v>0</v>
      </c>
      <c r="S16" s="108"/>
      <c r="T16" s="109"/>
      <c r="U16" s="108"/>
      <c r="V16" s="91"/>
      <c r="W16" s="92"/>
    </row>
    <row r="17" spans="1:40" x14ac:dyDescent="0.25">
      <c r="A17" s="25">
        <f t="shared" si="4"/>
        <v>5</v>
      </c>
      <c r="B17" s="401">
        <f t="shared" si="4"/>
        <v>46111</v>
      </c>
      <c r="C17" s="402"/>
      <c r="D17" s="110">
        <f t="shared" si="2"/>
        <v>53000</v>
      </c>
      <c r="E17" s="100"/>
      <c r="F17" s="100"/>
      <c r="G17" s="111">
        <f t="shared" si="1"/>
        <v>-20825</v>
      </c>
      <c r="H17" s="102">
        <f>('Consumption Guide'!G12*O17)/1000</f>
        <v>2970</v>
      </c>
      <c r="I17" s="225">
        <f t="shared" si="0"/>
        <v>37030</v>
      </c>
      <c r="J17" s="103">
        <f t="shared" si="5"/>
        <v>40000</v>
      </c>
      <c r="K17" s="104">
        <v>12000</v>
      </c>
      <c r="L17" s="116">
        <v>16000</v>
      </c>
      <c r="M17" s="106">
        <v>12000</v>
      </c>
      <c r="N17" s="112"/>
      <c r="O17" s="113">
        <f t="shared" si="3"/>
        <v>99000</v>
      </c>
      <c r="P17" s="107"/>
      <c r="Q17" s="102"/>
      <c r="R17" s="107">
        <f>Q17+R16</f>
        <v>0</v>
      </c>
      <c r="S17" s="108"/>
      <c r="T17" s="109"/>
      <c r="U17" s="108"/>
      <c r="V17" s="91"/>
      <c r="W17" s="92"/>
    </row>
    <row r="18" spans="1:40" x14ac:dyDescent="0.25">
      <c r="A18" s="25">
        <f t="shared" si="4"/>
        <v>6</v>
      </c>
      <c r="B18" s="401">
        <f t="shared" si="4"/>
        <v>46112</v>
      </c>
      <c r="C18" s="402"/>
      <c r="D18" s="110">
        <f t="shared" si="2"/>
        <v>53000</v>
      </c>
      <c r="E18" s="114"/>
      <c r="F18" s="114"/>
      <c r="G18" s="111">
        <f t="shared" si="1"/>
        <v>-20825</v>
      </c>
      <c r="H18" s="102">
        <f>('Consumption Guide'!G13*O18)/1000</f>
        <v>3168</v>
      </c>
      <c r="I18" s="225">
        <f t="shared" si="0"/>
        <v>33862</v>
      </c>
      <c r="J18" s="103">
        <f t="shared" si="5"/>
        <v>0</v>
      </c>
      <c r="K18" s="104"/>
      <c r="L18" s="97"/>
      <c r="M18" s="106"/>
      <c r="N18" s="112"/>
      <c r="O18" s="113">
        <f t="shared" si="3"/>
        <v>99000</v>
      </c>
      <c r="P18" s="107"/>
      <c r="Q18" s="102"/>
      <c r="R18" s="107">
        <f t="shared" si="6"/>
        <v>0</v>
      </c>
      <c r="S18" s="108"/>
      <c r="T18" s="109"/>
      <c r="U18" s="108"/>
      <c r="V18" s="91"/>
      <c r="W18" s="92"/>
    </row>
    <row r="19" spans="1:40" x14ac:dyDescent="0.25">
      <c r="A19" s="25">
        <f t="shared" si="4"/>
        <v>7</v>
      </c>
      <c r="B19" s="401">
        <f t="shared" si="4"/>
        <v>46113</v>
      </c>
      <c r="C19" s="402"/>
      <c r="D19" s="110">
        <f t="shared" si="2"/>
        <v>53000</v>
      </c>
      <c r="E19" s="114"/>
      <c r="F19" s="114"/>
      <c r="G19" s="111">
        <f t="shared" si="1"/>
        <v>-20825</v>
      </c>
      <c r="H19" s="102">
        <f>('Consumption Guide'!G14*O19)/1000</f>
        <v>3366</v>
      </c>
      <c r="I19" s="225">
        <f t="shared" si="0"/>
        <v>30496</v>
      </c>
      <c r="J19" s="103">
        <f t="shared" si="5"/>
        <v>0</v>
      </c>
      <c r="K19" s="104"/>
      <c r="L19" s="116"/>
      <c r="M19" s="119"/>
      <c r="N19" s="112"/>
      <c r="O19" s="113">
        <f t="shared" si="3"/>
        <v>99000</v>
      </c>
      <c r="P19" s="107"/>
      <c r="Q19" s="102"/>
      <c r="R19" s="107">
        <f t="shared" si="6"/>
        <v>0</v>
      </c>
      <c r="S19" s="108"/>
      <c r="T19" s="109"/>
      <c r="U19" s="108"/>
      <c r="V19" s="91"/>
      <c r="W19" s="92"/>
    </row>
    <row r="20" spans="1:40" x14ac:dyDescent="0.25">
      <c r="A20" s="25">
        <v>8</v>
      </c>
      <c r="B20" s="401">
        <f t="shared" si="4"/>
        <v>46114</v>
      </c>
      <c r="C20" s="402"/>
      <c r="D20" s="110">
        <f t="shared" si="2"/>
        <v>65000</v>
      </c>
      <c r="E20" s="114">
        <v>12000</v>
      </c>
      <c r="F20" s="114"/>
      <c r="G20" s="111">
        <f t="shared" si="1"/>
        <v>-32825</v>
      </c>
      <c r="H20" s="102">
        <f>('Consumption Guide'!G15*O20)/1000</f>
        <v>3564</v>
      </c>
      <c r="I20" s="225">
        <f t="shared" si="0"/>
        <v>38932</v>
      </c>
      <c r="J20" s="103">
        <f t="shared" si="5"/>
        <v>0</v>
      </c>
      <c r="K20" s="104"/>
      <c r="L20" s="97"/>
      <c r="M20" s="121"/>
      <c r="N20" s="112"/>
      <c r="O20" s="113">
        <f t="shared" si="3"/>
        <v>99000</v>
      </c>
      <c r="P20" s="107"/>
      <c r="Q20" s="102"/>
      <c r="R20" s="107">
        <f t="shared" si="6"/>
        <v>0</v>
      </c>
      <c r="S20" s="108"/>
      <c r="T20" s="109"/>
      <c r="U20" s="108"/>
      <c r="V20" s="91"/>
      <c r="W20" s="92"/>
    </row>
    <row r="21" spans="1:40" x14ac:dyDescent="0.25">
      <c r="A21" s="25">
        <f t="shared" si="4"/>
        <v>9</v>
      </c>
      <c r="B21" s="401">
        <f t="shared" si="4"/>
        <v>46115</v>
      </c>
      <c r="C21" s="402"/>
      <c r="D21" s="110">
        <f t="shared" si="2"/>
        <v>65000</v>
      </c>
      <c r="E21" s="114"/>
      <c r="F21" s="114"/>
      <c r="G21" s="111">
        <f t="shared" si="1"/>
        <v>-32825</v>
      </c>
      <c r="H21" s="102">
        <f>('Consumption Guide'!G16*O21)/1000</f>
        <v>3960</v>
      </c>
      <c r="I21" s="225">
        <f t="shared" si="0"/>
        <v>34972</v>
      </c>
      <c r="J21" s="103">
        <f t="shared" si="5"/>
        <v>0</v>
      </c>
      <c r="K21" s="104"/>
      <c r="L21" s="97"/>
      <c r="M21" s="121"/>
      <c r="N21" s="112"/>
      <c r="O21" s="113">
        <f t="shared" si="3"/>
        <v>99000</v>
      </c>
      <c r="P21" s="107"/>
      <c r="Q21" s="102"/>
      <c r="R21" s="107">
        <f t="shared" si="6"/>
        <v>0</v>
      </c>
      <c r="S21" s="108"/>
      <c r="T21" s="109"/>
      <c r="U21" s="108"/>
      <c r="V21" s="91"/>
      <c r="W21" s="92"/>
    </row>
    <row r="22" spans="1:40" x14ac:dyDescent="0.25">
      <c r="A22" s="25">
        <f t="shared" si="4"/>
        <v>10</v>
      </c>
      <c r="B22" s="401">
        <f t="shared" si="4"/>
        <v>46116</v>
      </c>
      <c r="C22" s="402"/>
      <c r="D22" s="110">
        <f t="shared" si="2"/>
        <v>65000</v>
      </c>
      <c r="E22" s="114"/>
      <c r="F22" s="114"/>
      <c r="G22" s="115">
        <v>96480</v>
      </c>
      <c r="H22" s="102">
        <f>('Consumption Guide'!G17*O22)/1000</f>
        <v>4455</v>
      </c>
      <c r="I22" s="225">
        <f t="shared" si="0"/>
        <v>30517</v>
      </c>
      <c r="J22" s="103">
        <f t="shared" si="5"/>
        <v>0</v>
      </c>
      <c r="K22" s="104"/>
      <c r="L22" s="97"/>
      <c r="M22" s="117"/>
      <c r="N22" s="112"/>
      <c r="O22" s="113">
        <f t="shared" si="3"/>
        <v>99000</v>
      </c>
      <c r="P22" s="107"/>
      <c r="Q22" s="102"/>
      <c r="R22" s="107">
        <f t="shared" si="6"/>
        <v>0</v>
      </c>
      <c r="S22" s="108"/>
      <c r="T22" s="109"/>
      <c r="U22" s="108"/>
      <c r="V22" s="91"/>
      <c r="W22" s="92"/>
      <c r="X22" s="93"/>
      <c r="Y22" s="94"/>
      <c r="Z22" s="94"/>
      <c r="AA22" s="93"/>
      <c r="AB22" s="94"/>
      <c r="AC22" s="94"/>
      <c r="AD22" s="93"/>
      <c r="AE22" s="94"/>
      <c r="AF22" s="95"/>
      <c r="AG22" s="93"/>
      <c r="AH22" s="95"/>
      <c r="AI22" s="93"/>
      <c r="AJ22" s="95"/>
      <c r="AK22" s="93"/>
      <c r="AL22" s="96"/>
      <c r="AM22" s="95"/>
      <c r="AN22" s="95"/>
    </row>
    <row r="23" spans="1:40" x14ac:dyDescent="0.25">
      <c r="A23" s="25">
        <f t="shared" si="4"/>
        <v>11</v>
      </c>
      <c r="B23" s="401">
        <f t="shared" si="4"/>
        <v>46117</v>
      </c>
      <c r="C23" s="402"/>
      <c r="D23" s="110">
        <f t="shared" si="2"/>
        <v>87000</v>
      </c>
      <c r="E23" s="114">
        <v>22000</v>
      </c>
      <c r="F23" s="114"/>
      <c r="G23" s="115">
        <f>H3-E23</f>
        <v>91849.999999999985</v>
      </c>
      <c r="H23" s="102">
        <f>('Consumption Guide'!G18*O23)/1000</f>
        <v>4950</v>
      </c>
      <c r="I23" s="225">
        <f t="shared" si="0"/>
        <v>47567</v>
      </c>
      <c r="J23" s="103">
        <f t="shared" si="5"/>
        <v>0</v>
      </c>
      <c r="K23" s="104"/>
      <c r="L23" s="97"/>
      <c r="M23" s="118"/>
      <c r="N23" s="112"/>
      <c r="O23" s="113">
        <f t="shared" si="3"/>
        <v>99000</v>
      </c>
      <c r="P23" s="107"/>
      <c r="Q23" s="102"/>
      <c r="R23" s="107">
        <f t="shared" si="6"/>
        <v>0</v>
      </c>
      <c r="S23" s="108"/>
      <c r="T23" s="109"/>
      <c r="U23" s="108"/>
      <c r="V23" s="91"/>
      <c r="W23" s="92"/>
    </row>
    <row r="24" spans="1:40" x14ac:dyDescent="0.25">
      <c r="A24" s="25">
        <f t="shared" si="4"/>
        <v>12</v>
      </c>
      <c r="B24" s="401">
        <f t="shared" si="4"/>
        <v>46118</v>
      </c>
      <c r="C24" s="402"/>
      <c r="D24" s="110">
        <f t="shared" si="2"/>
        <v>87000</v>
      </c>
      <c r="E24" s="114"/>
      <c r="F24" s="114"/>
      <c r="G24" s="115">
        <f t="shared" ref="G24:G36" si="7">G23-E24</f>
        <v>91849.999999999985</v>
      </c>
      <c r="H24" s="102">
        <f>('Consumption Guide'!G19*O24)/1000</f>
        <v>5445</v>
      </c>
      <c r="I24" s="225">
        <f t="shared" si="0"/>
        <v>42122</v>
      </c>
      <c r="J24" s="103">
        <f t="shared" si="5"/>
        <v>0</v>
      </c>
      <c r="K24" s="104"/>
      <c r="L24" s="97"/>
      <c r="M24" s="118"/>
      <c r="N24" s="112"/>
      <c r="O24" s="113">
        <f t="shared" si="3"/>
        <v>99000</v>
      </c>
      <c r="P24" s="107"/>
      <c r="Q24" s="102"/>
      <c r="R24" s="107">
        <f t="shared" si="6"/>
        <v>0</v>
      </c>
      <c r="S24" s="108"/>
      <c r="T24" s="109"/>
      <c r="U24" s="108"/>
      <c r="V24" s="91"/>
      <c r="W24" s="92"/>
    </row>
    <row r="25" spans="1:40" x14ac:dyDescent="0.25">
      <c r="A25" s="25">
        <f t="shared" si="4"/>
        <v>13</v>
      </c>
      <c r="B25" s="401">
        <f t="shared" si="4"/>
        <v>46119</v>
      </c>
      <c r="C25" s="402"/>
      <c r="D25" s="110">
        <f t="shared" si="2"/>
        <v>87000</v>
      </c>
      <c r="E25" s="114"/>
      <c r="F25" s="114"/>
      <c r="G25" s="115">
        <f t="shared" si="7"/>
        <v>91849.999999999985</v>
      </c>
      <c r="H25" s="102">
        <f>('Consumption Guide'!G20*O25)/1000</f>
        <v>5940</v>
      </c>
      <c r="I25" s="225">
        <f t="shared" si="0"/>
        <v>36182</v>
      </c>
      <c r="J25" s="103">
        <f t="shared" si="5"/>
        <v>0</v>
      </c>
      <c r="K25" s="104"/>
      <c r="L25" s="97"/>
      <c r="M25" s="118"/>
      <c r="N25" s="112"/>
      <c r="O25" s="113">
        <f t="shared" si="3"/>
        <v>99000</v>
      </c>
      <c r="P25" s="107"/>
      <c r="Q25" s="102"/>
      <c r="R25" s="107">
        <f t="shared" si="6"/>
        <v>0</v>
      </c>
      <c r="S25" s="108"/>
      <c r="T25" s="109"/>
      <c r="U25" s="108"/>
      <c r="V25" s="91"/>
      <c r="W25" s="92"/>
    </row>
    <row r="26" spans="1:40" x14ac:dyDescent="0.25">
      <c r="A26" s="25">
        <f t="shared" si="4"/>
        <v>14</v>
      </c>
      <c r="B26" s="401">
        <f t="shared" si="4"/>
        <v>46120</v>
      </c>
      <c r="C26" s="402"/>
      <c r="D26" s="110">
        <f t="shared" si="2"/>
        <v>87000</v>
      </c>
      <c r="E26" s="114"/>
      <c r="F26" s="114"/>
      <c r="G26" s="115">
        <f t="shared" si="7"/>
        <v>91849.999999999985</v>
      </c>
      <c r="H26" s="102">
        <f>('Consumption Guide'!G21*O26)/1000</f>
        <v>6435</v>
      </c>
      <c r="I26" s="225">
        <f t="shared" si="0"/>
        <v>29747</v>
      </c>
      <c r="J26" s="103">
        <f t="shared" si="5"/>
        <v>0</v>
      </c>
      <c r="K26" s="224"/>
      <c r="L26" s="116"/>
      <c r="M26" s="121"/>
      <c r="N26" s="102"/>
      <c r="O26" s="113">
        <f t="shared" si="3"/>
        <v>99000</v>
      </c>
      <c r="P26" s="107"/>
      <c r="Q26" s="102"/>
      <c r="R26" s="107">
        <f t="shared" si="6"/>
        <v>0</v>
      </c>
      <c r="S26" s="108"/>
      <c r="T26" s="109"/>
      <c r="U26" s="108"/>
      <c r="V26" s="91"/>
      <c r="W26" s="92"/>
    </row>
    <row r="27" spans="1:40" x14ac:dyDescent="0.25">
      <c r="A27" s="25">
        <f t="shared" si="4"/>
        <v>15</v>
      </c>
      <c r="B27" s="401">
        <f t="shared" si="4"/>
        <v>46121</v>
      </c>
      <c r="C27" s="402"/>
      <c r="D27" s="110">
        <f t="shared" si="2"/>
        <v>87000</v>
      </c>
      <c r="E27" s="114"/>
      <c r="F27" s="114"/>
      <c r="G27" s="115">
        <v>50000</v>
      </c>
      <c r="H27" s="102">
        <f>('Consumption Guide'!G22*O27)/1000</f>
        <v>7326</v>
      </c>
      <c r="I27" s="225">
        <f t="shared" si="0"/>
        <v>22421</v>
      </c>
      <c r="J27" s="103">
        <f t="shared" si="5"/>
        <v>0</v>
      </c>
      <c r="K27" s="120"/>
      <c r="L27" s="116"/>
      <c r="M27" s="121"/>
      <c r="N27" s="112"/>
      <c r="O27" s="113">
        <f t="shared" si="3"/>
        <v>99000</v>
      </c>
      <c r="P27" s="107"/>
      <c r="Q27" s="102"/>
      <c r="R27" s="107">
        <f t="shared" si="6"/>
        <v>0</v>
      </c>
      <c r="S27" s="108"/>
      <c r="T27" s="109"/>
      <c r="U27" s="108"/>
      <c r="V27" s="91"/>
      <c r="W27" s="92"/>
    </row>
    <row r="28" spans="1:40" x14ac:dyDescent="0.25">
      <c r="A28" s="25">
        <f t="shared" si="4"/>
        <v>16</v>
      </c>
      <c r="B28" s="401">
        <f t="shared" si="4"/>
        <v>46122</v>
      </c>
      <c r="C28" s="402"/>
      <c r="D28" s="110">
        <f t="shared" si="2"/>
        <v>87000</v>
      </c>
      <c r="E28" s="114"/>
      <c r="F28" s="114"/>
      <c r="G28" s="115">
        <f t="shared" si="7"/>
        <v>50000</v>
      </c>
      <c r="H28" s="102">
        <f>('Consumption Guide'!G23*O28)/1000</f>
        <v>7425</v>
      </c>
      <c r="I28" s="225">
        <f t="shared" si="0"/>
        <v>14996</v>
      </c>
      <c r="J28" s="103">
        <f t="shared" si="5"/>
        <v>0</v>
      </c>
      <c r="K28" s="120"/>
      <c r="L28" s="116"/>
      <c r="M28" s="275"/>
      <c r="N28" s="112"/>
      <c r="O28" s="113">
        <f t="shared" si="3"/>
        <v>99000</v>
      </c>
      <c r="P28" s="107"/>
      <c r="Q28" s="102"/>
      <c r="R28" s="107">
        <f t="shared" si="6"/>
        <v>0</v>
      </c>
      <c r="S28" s="108"/>
      <c r="T28" s="109"/>
      <c r="U28" s="108"/>
      <c r="V28" s="91"/>
      <c r="W28" s="92"/>
    </row>
    <row r="29" spans="1:40" x14ac:dyDescent="0.25">
      <c r="A29" s="25">
        <f t="shared" si="4"/>
        <v>17</v>
      </c>
      <c r="B29" s="401">
        <f t="shared" si="4"/>
        <v>46123</v>
      </c>
      <c r="C29" s="402"/>
      <c r="D29" s="110">
        <f t="shared" si="2"/>
        <v>87000</v>
      </c>
      <c r="E29" s="114"/>
      <c r="F29" s="114"/>
      <c r="G29" s="115">
        <f t="shared" si="7"/>
        <v>50000</v>
      </c>
      <c r="H29" s="102">
        <f>('Consumption Guide'!G24*O29)/1000</f>
        <v>7920</v>
      </c>
      <c r="I29" s="225">
        <f t="shared" si="0"/>
        <v>7076</v>
      </c>
      <c r="J29" s="103">
        <f t="shared" si="5"/>
        <v>0</v>
      </c>
      <c r="K29" s="122"/>
      <c r="L29" s="97"/>
      <c r="M29" s="121"/>
      <c r="N29" s="112"/>
      <c r="O29" s="113">
        <f t="shared" si="3"/>
        <v>99000</v>
      </c>
      <c r="P29" s="107"/>
      <c r="Q29" s="102"/>
      <c r="R29" s="107">
        <f t="shared" si="6"/>
        <v>0</v>
      </c>
      <c r="S29" s="108"/>
      <c r="T29" s="109"/>
      <c r="U29" s="108"/>
      <c r="V29" s="91"/>
      <c r="W29" s="92"/>
    </row>
    <row r="30" spans="1:40" x14ac:dyDescent="0.25">
      <c r="A30" s="25">
        <f t="shared" si="4"/>
        <v>18</v>
      </c>
      <c r="B30" s="401">
        <f t="shared" si="4"/>
        <v>46124</v>
      </c>
      <c r="C30" s="402"/>
      <c r="D30" s="110">
        <f t="shared" si="2"/>
        <v>87000</v>
      </c>
      <c r="E30" s="114"/>
      <c r="F30" s="276"/>
      <c r="G30" s="115">
        <f t="shared" si="7"/>
        <v>50000</v>
      </c>
      <c r="H30" s="102">
        <f>('Consumption Guide'!G25*O30)/1000</f>
        <v>8613</v>
      </c>
      <c r="I30" s="225">
        <f t="shared" si="0"/>
        <v>-1537</v>
      </c>
      <c r="J30" s="103">
        <f>(K30+M30+L30)</f>
        <v>0</v>
      </c>
      <c r="K30" s="120"/>
      <c r="L30" s="97"/>
      <c r="M30" s="121"/>
      <c r="N30" s="112"/>
      <c r="O30" s="113">
        <f t="shared" si="3"/>
        <v>99000</v>
      </c>
      <c r="P30" s="107"/>
      <c r="Q30" s="102"/>
      <c r="R30" s="107">
        <f t="shared" si="6"/>
        <v>0</v>
      </c>
      <c r="S30" s="108"/>
      <c r="T30" s="109"/>
      <c r="U30" s="108"/>
      <c r="V30" s="91"/>
      <c r="W30" s="92"/>
    </row>
    <row r="31" spans="1:40" x14ac:dyDescent="0.25">
      <c r="A31" s="25">
        <f t="shared" ref="A31:B46" si="8">A30+1</f>
        <v>19</v>
      </c>
      <c r="B31" s="401">
        <f t="shared" si="8"/>
        <v>46125</v>
      </c>
      <c r="C31" s="402"/>
      <c r="D31" s="110">
        <f t="shared" si="2"/>
        <v>87000</v>
      </c>
      <c r="E31" s="114"/>
      <c r="F31" s="114"/>
      <c r="G31" s="115">
        <f t="shared" si="7"/>
        <v>50000</v>
      </c>
      <c r="H31" s="102">
        <f>('Consumption Guide'!G26*O31)/1000</f>
        <v>9207</v>
      </c>
      <c r="I31" s="225">
        <f t="shared" si="0"/>
        <v>-10744</v>
      </c>
      <c r="J31" s="103">
        <f>(K31+M31+L31)</f>
        <v>0</v>
      </c>
      <c r="K31" s="122"/>
      <c r="L31" s="116"/>
      <c r="M31" s="121"/>
      <c r="N31" s="112"/>
      <c r="O31" s="113">
        <f t="shared" si="3"/>
        <v>99000</v>
      </c>
      <c r="P31" s="107"/>
      <c r="Q31" s="102"/>
      <c r="R31" s="107">
        <f t="shared" si="6"/>
        <v>0</v>
      </c>
      <c r="S31" s="108"/>
      <c r="T31" s="109"/>
      <c r="U31" s="108"/>
      <c r="V31" s="91"/>
      <c r="W31" s="92"/>
    </row>
    <row r="32" spans="1:40" x14ac:dyDescent="0.25">
      <c r="A32" s="25">
        <f t="shared" si="8"/>
        <v>20</v>
      </c>
      <c r="B32" s="401">
        <f t="shared" si="8"/>
        <v>46126</v>
      </c>
      <c r="C32" s="402"/>
      <c r="D32" s="110">
        <f t="shared" si="2"/>
        <v>87000</v>
      </c>
      <c r="E32" s="276"/>
      <c r="F32" s="276"/>
      <c r="G32" s="115">
        <f t="shared" si="7"/>
        <v>50000</v>
      </c>
      <c r="H32" s="102">
        <f>('Consumption Guide'!G27*O32)/1000</f>
        <v>9603</v>
      </c>
      <c r="I32" s="225">
        <f t="shared" si="0"/>
        <v>-20347</v>
      </c>
      <c r="J32" s="103">
        <f>(K32+M32+L32)</f>
        <v>0</v>
      </c>
      <c r="K32" s="122"/>
      <c r="L32" s="97"/>
      <c r="M32" s="121"/>
      <c r="N32" s="112"/>
      <c r="O32" s="113">
        <f t="shared" si="3"/>
        <v>99000</v>
      </c>
      <c r="P32" s="107"/>
      <c r="Q32" s="102"/>
      <c r="R32" s="107">
        <f t="shared" si="6"/>
        <v>0</v>
      </c>
      <c r="S32" s="108"/>
      <c r="T32" s="109"/>
      <c r="U32" s="108"/>
      <c r="V32" s="91"/>
      <c r="W32" s="92"/>
    </row>
    <row r="33" spans="1:23" x14ac:dyDescent="0.25">
      <c r="A33" s="25">
        <f t="shared" si="8"/>
        <v>21</v>
      </c>
      <c r="B33" s="401">
        <f t="shared" si="8"/>
        <v>46127</v>
      </c>
      <c r="C33" s="402"/>
      <c r="D33" s="110">
        <f t="shared" si="2"/>
        <v>87000</v>
      </c>
      <c r="E33" s="16"/>
      <c r="F33" s="114"/>
      <c r="G33" s="115">
        <f t="shared" si="7"/>
        <v>50000</v>
      </c>
      <c r="H33" s="102">
        <f>('Consumption Guide'!G28*O33)/1000</f>
        <v>10197</v>
      </c>
      <c r="I33" s="225">
        <f t="shared" si="0"/>
        <v>-30544</v>
      </c>
      <c r="J33" s="103">
        <f>(K33+M33+L33)</f>
        <v>0</v>
      </c>
      <c r="K33" s="122"/>
      <c r="L33" s="97"/>
      <c r="M33" s="121"/>
      <c r="N33" s="112"/>
      <c r="O33" s="113">
        <f t="shared" si="3"/>
        <v>99000</v>
      </c>
      <c r="P33" s="107"/>
      <c r="Q33" s="102"/>
      <c r="R33" s="107">
        <f t="shared" si="6"/>
        <v>0</v>
      </c>
      <c r="S33" s="108"/>
      <c r="T33" s="109"/>
      <c r="U33" s="108"/>
      <c r="V33" s="91"/>
      <c r="W33" s="92"/>
    </row>
    <row r="34" spans="1:23" x14ac:dyDescent="0.25">
      <c r="A34" s="25">
        <f t="shared" si="8"/>
        <v>22</v>
      </c>
      <c r="B34" s="401">
        <f t="shared" si="8"/>
        <v>46128</v>
      </c>
      <c r="C34" s="402"/>
      <c r="D34" s="110">
        <f t="shared" si="2"/>
        <v>87000</v>
      </c>
      <c r="E34" s="16"/>
      <c r="F34" s="16"/>
      <c r="G34" s="115">
        <f t="shared" si="7"/>
        <v>50000</v>
      </c>
      <c r="H34" s="102">
        <f>('Consumption Guide'!G29*O34)/1000</f>
        <v>10593</v>
      </c>
      <c r="I34" s="225">
        <f t="shared" si="0"/>
        <v>-41137</v>
      </c>
      <c r="J34" s="103">
        <f>(K34+M34+L34)</f>
        <v>0</v>
      </c>
      <c r="K34" s="122"/>
      <c r="L34" s="97"/>
      <c r="M34" s="121"/>
      <c r="N34" s="112"/>
      <c r="O34" s="113">
        <f t="shared" si="3"/>
        <v>99000</v>
      </c>
      <c r="P34" s="107"/>
      <c r="Q34" s="102"/>
      <c r="R34" s="107">
        <f t="shared" si="6"/>
        <v>0</v>
      </c>
      <c r="S34" s="108"/>
      <c r="T34" s="109"/>
      <c r="U34" s="108"/>
      <c r="V34" s="91"/>
      <c r="W34" s="92"/>
    </row>
    <row r="35" spans="1:23" x14ac:dyDescent="0.25">
      <c r="A35" s="25">
        <f t="shared" si="8"/>
        <v>23</v>
      </c>
      <c r="B35" s="401">
        <f t="shared" si="8"/>
        <v>46129</v>
      </c>
      <c r="C35" s="402"/>
      <c r="D35" s="110">
        <f t="shared" si="2"/>
        <v>87000</v>
      </c>
      <c r="E35" s="114"/>
      <c r="F35" s="16"/>
      <c r="G35" s="115">
        <f t="shared" si="7"/>
        <v>50000</v>
      </c>
      <c r="H35" s="102">
        <f>('Consumption Guide'!G30*O35)/1000</f>
        <v>11187</v>
      </c>
      <c r="I35" s="225">
        <f t="shared" si="0"/>
        <v>-52324</v>
      </c>
      <c r="J35" s="103">
        <f t="shared" si="5"/>
        <v>0</v>
      </c>
      <c r="K35" s="129"/>
      <c r="L35" s="97"/>
      <c r="M35" s="121"/>
      <c r="N35" s="112"/>
      <c r="O35" s="113">
        <f t="shared" si="3"/>
        <v>99000</v>
      </c>
      <c r="P35" s="107"/>
      <c r="Q35" s="102"/>
      <c r="R35" s="107">
        <f t="shared" si="6"/>
        <v>0</v>
      </c>
      <c r="S35" s="108"/>
      <c r="T35" s="109"/>
      <c r="U35" s="108"/>
      <c r="V35" s="91"/>
      <c r="W35" s="92"/>
    </row>
    <row r="36" spans="1:23" x14ac:dyDescent="0.25">
      <c r="A36" s="25">
        <f t="shared" si="8"/>
        <v>24</v>
      </c>
      <c r="B36" s="401">
        <f t="shared" si="8"/>
        <v>46130</v>
      </c>
      <c r="C36" s="402"/>
      <c r="D36" s="110">
        <f t="shared" si="2"/>
        <v>87000</v>
      </c>
      <c r="E36" s="16"/>
      <c r="F36" s="16"/>
      <c r="G36" s="115">
        <f t="shared" si="7"/>
        <v>50000</v>
      </c>
      <c r="H36" s="102">
        <f>('Consumption Guide'!G31*O36)/1000</f>
        <v>11682</v>
      </c>
      <c r="I36" s="225">
        <f t="shared" si="0"/>
        <v>-64006</v>
      </c>
      <c r="J36" s="103">
        <f t="shared" si="5"/>
        <v>0</v>
      </c>
      <c r="K36" s="129"/>
      <c r="L36" s="97"/>
      <c r="M36" s="171"/>
      <c r="N36" s="112"/>
      <c r="O36" s="113">
        <f t="shared" si="3"/>
        <v>99000</v>
      </c>
      <c r="P36" s="107"/>
      <c r="Q36" s="102"/>
      <c r="R36" s="107">
        <f t="shared" si="6"/>
        <v>0</v>
      </c>
      <c r="S36" s="108"/>
      <c r="T36" s="109"/>
      <c r="U36" s="108"/>
      <c r="V36" s="91"/>
      <c r="W36" s="92"/>
    </row>
    <row r="37" spans="1:23" x14ac:dyDescent="0.25">
      <c r="A37" s="25">
        <f t="shared" si="8"/>
        <v>25</v>
      </c>
      <c r="B37" s="401">
        <f t="shared" si="8"/>
        <v>46131</v>
      </c>
      <c r="C37" s="402"/>
      <c r="D37" s="110">
        <f t="shared" si="2"/>
        <v>87000</v>
      </c>
      <c r="E37" s="16"/>
      <c r="F37" s="16"/>
      <c r="G37" s="123">
        <f>H4-E36</f>
        <v>168300</v>
      </c>
      <c r="H37" s="102">
        <f>('Consumption Guide'!G32*O37)/1000</f>
        <v>12078</v>
      </c>
      <c r="I37" s="225">
        <f t="shared" si="0"/>
        <v>-76084</v>
      </c>
      <c r="J37" s="103">
        <f t="shared" si="5"/>
        <v>0</v>
      </c>
      <c r="K37" s="122"/>
      <c r="L37" s="97"/>
      <c r="M37" s="121"/>
      <c r="N37" s="112"/>
      <c r="O37" s="113">
        <f t="shared" si="3"/>
        <v>99000</v>
      </c>
      <c r="P37" s="107"/>
      <c r="Q37" s="102"/>
      <c r="R37" s="107">
        <f t="shared" si="6"/>
        <v>0</v>
      </c>
      <c r="S37" s="108"/>
      <c r="T37" s="109"/>
      <c r="U37" s="108"/>
      <c r="V37" s="91"/>
      <c r="W37" s="92"/>
    </row>
    <row r="38" spans="1:23" s="124" customFormat="1" x14ac:dyDescent="0.25">
      <c r="A38" s="124">
        <f t="shared" si="8"/>
        <v>26</v>
      </c>
      <c r="B38" s="401">
        <f t="shared" si="8"/>
        <v>46132</v>
      </c>
      <c r="C38" s="402"/>
      <c r="D38" s="110">
        <f t="shared" si="2"/>
        <v>87000</v>
      </c>
      <c r="E38" s="16"/>
      <c r="F38" s="16"/>
      <c r="G38" s="123">
        <f t="shared" ref="G38:G44" si="9">G37-E38</f>
        <v>168300</v>
      </c>
      <c r="H38" s="102">
        <f>('Consumption Guide'!G33*O38)/1000</f>
        <v>12672</v>
      </c>
      <c r="I38" s="225">
        <f t="shared" si="0"/>
        <v>-88756</v>
      </c>
      <c r="J38" s="103">
        <f t="shared" si="5"/>
        <v>0</v>
      </c>
      <c r="K38" s="122"/>
      <c r="L38" s="170"/>
      <c r="M38" s="121"/>
      <c r="N38" s="126"/>
      <c r="O38" s="113">
        <f t="shared" si="3"/>
        <v>99000</v>
      </c>
      <c r="P38" s="107"/>
      <c r="Q38" s="102"/>
      <c r="R38" s="107">
        <f t="shared" si="6"/>
        <v>0</v>
      </c>
      <c r="S38" s="108"/>
      <c r="T38" s="109"/>
      <c r="U38" s="108"/>
      <c r="V38" s="127"/>
      <c r="W38" s="128"/>
    </row>
    <row r="39" spans="1:23" x14ac:dyDescent="0.25">
      <c r="A39" s="25">
        <f t="shared" si="8"/>
        <v>27</v>
      </c>
      <c r="B39" s="401">
        <f t="shared" si="8"/>
        <v>46133</v>
      </c>
      <c r="C39" s="402"/>
      <c r="D39" s="110">
        <f t="shared" si="2"/>
        <v>87000</v>
      </c>
      <c r="E39" s="16"/>
      <c r="F39" s="16"/>
      <c r="G39" s="123">
        <f t="shared" si="9"/>
        <v>168300</v>
      </c>
      <c r="H39" s="102">
        <f>('Consumption Guide'!G34*O39)/1000</f>
        <v>13266</v>
      </c>
      <c r="I39" s="225">
        <f t="shared" si="0"/>
        <v>-102022</v>
      </c>
      <c r="J39" s="103">
        <f t="shared" si="5"/>
        <v>0</v>
      </c>
      <c r="K39" s="129"/>
      <c r="L39" s="170"/>
      <c r="M39" s="171"/>
      <c r="N39" s="112"/>
      <c r="O39" s="113">
        <f t="shared" si="3"/>
        <v>99000</v>
      </c>
      <c r="P39" s="107"/>
      <c r="Q39" s="102"/>
      <c r="R39" s="107">
        <f t="shared" si="6"/>
        <v>0</v>
      </c>
      <c r="S39" s="108"/>
      <c r="T39" s="109"/>
      <c r="U39" s="108"/>
      <c r="V39" s="91"/>
      <c r="W39" s="92"/>
    </row>
    <row r="40" spans="1:23" x14ac:dyDescent="0.25">
      <c r="A40" s="25">
        <f t="shared" si="8"/>
        <v>28</v>
      </c>
      <c r="B40" s="401">
        <f t="shared" si="8"/>
        <v>46134</v>
      </c>
      <c r="C40" s="402"/>
      <c r="D40" s="110">
        <f t="shared" si="2"/>
        <v>87000</v>
      </c>
      <c r="E40" s="16"/>
      <c r="F40" s="16"/>
      <c r="G40" s="123">
        <f t="shared" si="9"/>
        <v>168300</v>
      </c>
      <c r="H40" s="102">
        <f>('Consumption Guide'!G35*O40)/1000</f>
        <v>13761</v>
      </c>
      <c r="I40" s="225">
        <f t="shared" si="0"/>
        <v>-115783</v>
      </c>
      <c r="J40" s="103">
        <f t="shared" si="5"/>
        <v>0</v>
      </c>
      <c r="K40" s="129"/>
      <c r="L40" s="170"/>
      <c r="M40" s="171"/>
      <c r="N40" s="131"/>
      <c r="O40" s="113">
        <f t="shared" si="3"/>
        <v>99000</v>
      </c>
      <c r="P40" s="107"/>
      <c r="Q40" s="102"/>
      <c r="R40" s="107">
        <f t="shared" si="6"/>
        <v>0</v>
      </c>
      <c r="S40" s="108"/>
      <c r="T40" s="109"/>
      <c r="U40" s="108"/>
      <c r="V40" s="91"/>
      <c r="W40" s="92"/>
    </row>
    <row r="41" spans="1:23" x14ac:dyDescent="0.25">
      <c r="A41" s="25">
        <f t="shared" si="8"/>
        <v>29</v>
      </c>
      <c r="B41" s="401">
        <f t="shared" si="8"/>
        <v>46135</v>
      </c>
      <c r="C41" s="402"/>
      <c r="D41" s="110">
        <f t="shared" si="2"/>
        <v>87000</v>
      </c>
      <c r="E41" s="16"/>
      <c r="F41" s="16"/>
      <c r="G41" s="123">
        <f t="shared" si="9"/>
        <v>168300</v>
      </c>
      <c r="H41" s="102">
        <f>('Consumption Guide'!G36*O41)/1000</f>
        <v>13860</v>
      </c>
      <c r="I41" s="225">
        <f t="shared" si="0"/>
        <v>-129643</v>
      </c>
      <c r="J41" s="103">
        <f t="shared" si="5"/>
        <v>0</v>
      </c>
      <c r="K41" s="129"/>
      <c r="L41" s="130"/>
      <c r="M41" s="171"/>
      <c r="N41" s="132"/>
      <c r="O41" s="113">
        <f t="shared" si="3"/>
        <v>99000</v>
      </c>
      <c r="P41" s="107"/>
      <c r="Q41" s="102"/>
      <c r="R41" s="107">
        <f t="shared" si="6"/>
        <v>0</v>
      </c>
      <c r="S41" s="108"/>
      <c r="T41" s="109"/>
      <c r="U41" s="108"/>
      <c r="V41" s="91"/>
      <c r="W41" s="92"/>
    </row>
    <row r="42" spans="1:23" x14ac:dyDescent="0.25">
      <c r="A42" s="25">
        <f t="shared" si="8"/>
        <v>30</v>
      </c>
      <c r="B42" s="401">
        <f t="shared" si="8"/>
        <v>46136</v>
      </c>
      <c r="C42" s="402"/>
      <c r="D42" s="110">
        <f t="shared" si="2"/>
        <v>87000</v>
      </c>
      <c r="E42" s="391"/>
      <c r="F42" s="277"/>
      <c r="G42" s="123">
        <f t="shared" si="9"/>
        <v>168300</v>
      </c>
      <c r="H42" s="102">
        <f>('Consumption Guide'!G37*O42)/1000</f>
        <v>14058</v>
      </c>
      <c r="I42" s="225">
        <f t="shared" si="0"/>
        <v>-143701</v>
      </c>
      <c r="J42" s="103">
        <f t="shared" si="5"/>
        <v>0</v>
      </c>
      <c r="K42" s="129"/>
      <c r="L42" s="130"/>
      <c r="M42" s="134"/>
      <c r="N42" s="132"/>
      <c r="O42" s="113">
        <f t="shared" si="3"/>
        <v>99000</v>
      </c>
      <c r="P42" s="107"/>
      <c r="Q42" s="102"/>
      <c r="R42" s="107">
        <f t="shared" si="6"/>
        <v>0</v>
      </c>
      <c r="S42" s="108"/>
      <c r="T42" s="109"/>
      <c r="U42" s="108"/>
      <c r="V42" s="91"/>
      <c r="W42" s="92"/>
    </row>
    <row r="43" spans="1:23" x14ac:dyDescent="0.25">
      <c r="A43" s="25">
        <f t="shared" si="8"/>
        <v>31</v>
      </c>
      <c r="B43" s="401">
        <f t="shared" si="8"/>
        <v>46137</v>
      </c>
      <c r="C43" s="402"/>
      <c r="D43" s="110">
        <f t="shared" si="2"/>
        <v>87000</v>
      </c>
      <c r="E43" s="16"/>
      <c r="F43" s="16"/>
      <c r="G43" s="123">
        <f t="shared" si="9"/>
        <v>168300</v>
      </c>
      <c r="H43" s="102">
        <f>('Consumption Guide'!G38*O43)/1000</f>
        <v>14751</v>
      </c>
      <c r="I43" s="225">
        <f t="shared" si="0"/>
        <v>-158452</v>
      </c>
      <c r="J43" s="103">
        <f t="shared" si="5"/>
        <v>0</v>
      </c>
      <c r="K43" s="129"/>
      <c r="L43" s="130"/>
      <c r="M43" s="134"/>
      <c r="N43" s="126"/>
      <c r="O43" s="113">
        <f t="shared" si="3"/>
        <v>99000</v>
      </c>
      <c r="P43" s="107"/>
      <c r="Q43" s="102"/>
      <c r="R43" s="107">
        <f t="shared" si="6"/>
        <v>0</v>
      </c>
      <c r="S43" s="108"/>
      <c r="T43" s="109"/>
      <c r="U43" s="108"/>
      <c r="V43" s="91"/>
      <c r="W43" s="92"/>
    </row>
    <row r="44" spans="1:23" ht="24" customHeight="1" x14ac:dyDescent="0.25">
      <c r="A44" s="25">
        <f t="shared" si="8"/>
        <v>32</v>
      </c>
      <c r="B44" s="401">
        <f t="shared" si="8"/>
        <v>46138</v>
      </c>
      <c r="C44" s="402"/>
      <c r="D44" s="110">
        <f t="shared" si="2"/>
        <v>87000</v>
      </c>
      <c r="E44" s="16"/>
      <c r="F44" s="99"/>
      <c r="G44" s="123">
        <f t="shared" si="9"/>
        <v>168300</v>
      </c>
      <c r="H44" s="102">
        <f>('Consumption Guide'!G39*O44)/1000</f>
        <v>15147</v>
      </c>
      <c r="I44" s="225">
        <f t="shared" si="0"/>
        <v>-173599</v>
      </c>
      <c r="J44" s="103">
        <f>(K44+M44+L44)</f>
        <v>0</v>
      </c>
      <c r="K44" s="129"/>
      <c r="L44" s="130"/>
      <c r="M44" s="134"/>
      <c r="N44" s="99"/>
      <c r="O44" s="113">
        <f t="shared" si="3"/>
        <v>99000</v>
      </c>
      <c r="P44" s="107"/>
      <c r="Q44" s="102"/>
      <c r="R44" s="107">
        <f t="shared" si="6"/>
        <v>0</v>
      </c>
      <c r="S44" s="108"/>
      <c r="T44" s="109"/>
      <c r="U44" s="108"/>
      <c r="V44" s="91"/>
      <c r="W44" s="92"/>
    </row>
    <row r="45" spans="1:23" s="124" customFormat="1" x14ac:dyDescent="0.25">
      <c r="A45" s="124">
        <f t="shared" si="8"/>
        <v>33</v>
      </c>
      <c r="B45" s="401">
        <f t="shared" si="8"/>
        <v>46139</v>
      </c>
      <c r="C45" s="402"/>
      <c r="D45" s="110">
        <f t="shared" si="2"/>
        <v>87000</v>
      </c>
      <c r="E45" s="16"/>
      <c r="F45" s="99"/>
      <c r="G45" s="135">
        <v>0</v>
      </c>
      <c r="H45" s="102">
        <f>('Consumption Guide'!G40*O45)/1000</f>
        <v>15642</v>
      </c>
      <c r="I45" s="225">
        <f t="shared" si="0"/>
        <v>-189241</v>
      </c>
      <c r="J45" s="103">
        <f t="shared" si="5"/>
        <v>0</v>
      </c>
      <c r="K45" s="129"/>
      <c r="L45" s="130"/>
      <c r="M45" s="134"/>
      <c r="N45" s="99"/>
      <c r="O45" s="113">
        <f t="shared" si="3"/>
        <v>99000</v>
      </c>
      <c r="P45" s="136"/>
      <c r="Q45" s="102"/>
      <c r="R45" s="107">
        <f t="shared" si="6"/>
        <v>0</v>
      </c>
      <c r="S45" s="108"/>
      <c r="T45" s="109"/>
      <c r="U45" s="108"/>
      <c r="V45" s="127"/>
      <c r="W45" s="128"/>
    </row>
    <row r="46" spans="1:23" x14ac:dyDescent="0.25">
      <c r="A46" s="25">
        <f t="shared" si="8"/>
        <v>34</v>
      </c>
      <c r="B46" s="401">
        <f t="shared" si="8"/>
        <v>46140</v>
      </c>
      <c r="C46" s="402"/>
      <c r="D46" s="110">
        <f t="shared" si="2"/>
        <v>87000</v>
      </c>
      <c r="E46" s="99"/>
      <c r="F46" s="16"/>
      <c r="G46" s="135">
        <v>0</v>
      </c>
      <c r="H46" s="102">
        <f>('Consumption Guide'!G41*O46)/1000</f>
        <v>16137</v>
      </c>
      <c r="I46" s="225">
        <f t="shared" si="0"/>
        <v>-205378</v>
      </c>
      <c r="J46" s="103">
        <f t="shared" si="5"/>
        <v>0</v>
      </c>
      <c r="K46" s="129"/>
      <c r="L46" s="170"/>
      <c r="M46" s="134"/>
      <c r="N46" s="99"/>
      <c r="O46" s="113">
        <f t="shared" ref="O46:O72" si="10">SUM(O45-N46)</f>
        <v>99000</v>
      </c>
      <c r="P46" s="136"/>
      <c r="Q46" s="102"/>
      <c r="R46" s="107">
        <f t="shared" si="6"/>
        <v>0</v>
      </c>
      <c r="S46" s="108"/>
      <c r="T46" s="109"/>
      <c r="U46" s="108"/>
      <c r="V46" s="91"/>
      <c r="W46" s="92"/>
    </row>
    <row r="47" spans="1:23" x14ac:dyDescent="0.25">
      <c r="A47" s="25">
        <f t="shared" ref="A47:B62" si="11">A46+1</f>
        <v>35</v>
      </c>
      <c r="B47" s="401">
        <f t="shared" si="11"/>
        <v>46141</v>
      </c>
      <c r="C47" s="402"/>
      <c r="D47" s="110">
        <f t="shared" si="2"/>
        <v>87000</v>
      </c>
      <c r="E47" s="99"/>
      <c r="F47" s="16"/>
      <c r="G47" s="135">
        <v>0</v>
      </c>
      <c r="H47" s="102">
        <f>('Consumption Guide'!G42*O47)/1000</f>
        <v>16335</v>
      </c>
      <c r="I47" s="225">
        <f t="shared" si="0"/>
        <v>-221713</v>
      </c>
      <c r="J47" s="103">
        <f t="shared" si="5"/>
        <v>0</v>
      </c>
      <c r="K47" s="129"/>
      <c r="L47" s="170"/>
      <c r="M47" s="134"/>
      <c r="N47" s="99"/>
      <c r="O47" s="113">
        <f t="shared" si="10"/>
        <v>99000</v>
      </c>
      <c r="P47" s="136"/>
      <c r="Q47" s="102"/>
      <c r="R47" s="107">
        <f t="shared" si="6"/>
        <v>0</v>
      </c>
      <c r="S47" s="108"/>
      <c r="T47" s="109"/>
      <c r="U47" s="108"/>
      <c r="V47" s="91"/>
      <c r="W47" s="92"/>
    </row>
    <row r="48" spans="1:23" x14ac:dyDescent="0.25">
      <c r="A48" s="25">
        <f t="shared" si="11"/>
        <v>36</v>
      </c>
      <c r="B48" s="401">
        <f t="shared" si="11"/>
        <v>46142</v>
      </c>
      <c r="C48" s="402"/>
      <c r="D48" s="110">
        <f t="shared" si="2"/>
        <v>87000</v>
      </c>
      <c r="E48" s="99"/>
      <c r="F48" s="99"/>
      <c r="G48" s="135">
        <v>0</v>
      </c>
      <c r="H48" s="102">
        <f>('Consumption Guide'!G43*O48)/1000</f>
        <v>16632</v>
      </c>
      <c r="I48" s="225">
        <f t="shared" si="0"/>
        <v>-238345</v>
      </c>
      <c r="J48" s="103">
        <f t="shared" si="5"/>
        <v>0</v>
      </c>
      <c r="K48" s="129"/>
      <c r="L48" s="130"/>
      <c r="M48" s="134"/>
      <c r="N48" s="99"/>
      <c r="O48" s="113">
        <f t="shared" si="10"/>
        <v>99000</v>
      </c>
      <c r="P48" s="136"/>
      <c r="Q48" s="102"/>
      <c r="R48" s="107">
        <f t="shared" si="6"/>
        <v>0</v>
      </c>
      <c r="S48" s="108"/>
      <c r="T48" s="109"/>
      <c r="U48" s="108"/>
      <c r="V48" s="91"/>
      <c r="W48" s="92"/>
    </row>
    <row r="49" spans="1:23" x14ac:dyDescent="0.25">
      <c r="A49" s="25">
        <f t="shared" si="11"/>
        <v>37</v>
      </c>
      <c r="B49" s="401">
        <f t="shared" si="11"/>
        <v>46143</v>
      </c>
      <c r="C49" s="402"/>
      <c r="D49" s="110">
        <f t="shared" si="2"/>
        <v>87000</v>
      </c>
      <c r="E49" s="99"/>
      <c r="F49" s="99"/>
      <c r="G49" s="135">
        <v>0</v>
      </c>
      <c r="H49" s="102">
        <f>('Consumption Guide'!G44*O49)/1000</f>
        <v>16929</v>
      </c>
      <c r="I49" s="225">
        <f t="shared" si="0"/>
        <v>-255274</v>
      </c>
      <c r="J49" s="103">
        <f t="shared" si="5"/>
        <v>0</v>
      </c>
      <c r="K49" s="129"/>
      <c r="L49" s="130"/>
      <c r="M49" s="137"/>
      <c r="N49" s="99"/>
      <c r="O49" s="113">
        <f t="shared" si="10"/>
        <v>99000</v>
      </c>
      <c r="P49" s="136"/>
      <c r="Q49" s="102"/>
      <c r="R49" s="107">
        <f t="shared" si="6"/>
        <v>0</v>
      </c>
      <c r="S49" s="108"/>
      <c r="T49" s="109"/>
      <c r="U49" s="108"/>
      <c r="V49" s="91"/>
      <c r="W49" s="92"/>
    </row>
    <row r="50" spans="1:23" x14ac:dyDescent="0.25">
      <c r="A50" s="25">
        <f t="shared" si="11"/>
        <v>38</v>
      </c>
      <c r="B50" s="401">
        <f t="shared" si="11"/>
        <v>46144</v>
      </c>
      <c r="C50" s="402"/>
      <c r="D50" s="110">
        <f t="shared" si="2"/>
        <v>87000</v>
      </c>
      <c r="E50" s="99"/>
      <c r="F50" s="99"/>
      <c r="G50" s="135">
        <v>0</v>
      </c>
      <c r="H50" s="102">
        <f>('Consumption Guide'!G45*O50)/1000</f>
        <v>17226</v>
      </c>
      <c r="I50" s="225">
        <f t="shared" si="0"/>
        <v>-272500</v>
      </c>
      <c r="J50" s="103">
        <f t="shared" si="5"/>
        <v>0</v>
      </c>
      <c r="K50" s="129"/>
      <c r="L50" s="130"/>
      <c r="M50" s="134"/>
      <c r="N50" s="99"/>
      <c r="O50" s="113">
        <f t="shared" si="10"/>
        <v>99000</v>
      </c>
      <c r="P50" s="136"/>
      <c r="Q50" s="102"/>
      <c r="R50" s="107">
        <f t="shared" si="6"/>
        <v>0</v>
      </c>
      <c r="S50" s="108"/>
      <c r="T50" s="109"/>
      <c r="U50" s="108"/>
      <c r="V50" s="91"/>
      <c r="W50" s="92"/>
    </row>
    <row r="51" spans="1:23" x14ac:dyDescent="0.25">
      <c r="A51" s="25">
        <f t="shared" si="11"/>
        <v>39</v>
      </c>
      <c r="B51" s="401">
        <f t="shared" si="11"/>
        <v>46145</v>
      </c>
      <c r="C51" s="402"/>
      <c r="D51" s="110">
        <f t="shared" si="2"/>
        <v>87000</v>
      </c>
      <c r="E51" s="99"/>
      <c r="F51" s="99"/>
      <c r="G51" s="135">
        <v>0</v>
      </c>
      <c r="H51" s="102">
        <f>('Consumption Guide'!G46*O51)/1000</f>
        <v>17424</v>
      </c>
      <c r="I51" s="225">
        <f t="shared" si="0"/>
        <v>-289924</v>
      </c>
      <c r="J51" s="103">
        <f t="shared" si="5"/>
        <v>0</v>
      </c>
      <c r="K51" s="129"/>
      <c r="L51" s="130"/>
      <c r="M51" s="134"/>
      <c r="N51" s="99"/>
      <c r="O51" s="113">
        <f t="shared" si="10"/>
        <v>99000</v>
      </c>
      <c r="P51" s="136"/>
      <c r="Q51" s="102"/>
      <c r="R51" s="107">
        <f t="shared" si="6"/>
        <v>0</v>
      </c>
      <c r="S51" s="108"/>
      <c r="T51" s="109"/>
      <c r="U51" s="108"/>
      <c r="V51" s="91"/>
      <c r="W51" s="92"/>
    </row>
    <row r="52" spans="1:23" x14ac:dyDescent="0.25">
      <c r="A52" s="25">
        <f t="shared" si="11"/>
        <v>40</v>
      </c>
      <c r="B52" s="401">
        <f t="shared" si="11"/>
        <v>46146</v>
      </c>
      <c r="C52" s="402"/>
      <c r="D52" s="110">
        <f t="shared" si="2"/>
        <v>87000</v>
      </c>
      <c r="E52" s="99"/>
      <c r="F52" s="99"/>
      <c r="G52" s="135">
        <v>0</v>
      </c>
      <c r="H52" s="102">
        <f>('Consumption Guide'!G47*O52)/1000</f>
        <v>17622</v>
      </c>
      <c r="I52" s="225">
        <f t="shared" si="0"/>
        <v>-307546</v>
      </c>
      <c r="J52" s="103">
        <f t="shared" si="5"/>
        <v>0</v>
      </c>
      <c r="K52" s="129"/>
      <c r="L52" s="130"/>
      <c r="M52" s="134"/>
      <c r="N52" s="99"/>
      <c r="O52" s="113">
        <f t="shared" si="10"/>
        <v>99000</v>
      </c>
      <c r="P52" s="136"/>
      <c r="Q52" s="102"/>
      <c r="R52" s="107">
        <f t="shared" si="6"/>
        <v>0</v>
      </c>
      <c r="S52" s="108"/>
      <c r="T52" s="109"/>
      <c r="U52" s="108"/>
      <c r="V52" s="91"/>
      <c r="W52" s="92"/>
    </row>
    <row r="53" spans="1:23" x14ac:dyDescent="0.25">
      <c r="A53" s="139">
        <f t="shared" si="11"/>
        <v>41</v>
      </c>
      <c r="B53" s="401">
        <f t="shared" si="11"/>
        <v>46147</v>
      </c>
      <c r="C53" s="402"/>
      <c r="D53" s="140">
        <f t="shared" si="2"/>
        <v>87000</v>
      </c>
      <c r="E53" s="99"/>
      <c r="F53" s="99"/>
      <c r="G53" s="135">
        <v>0</v>
      </c>
      <c r="H53" s="141">
        <f>('Consumption Guide'!G48*O53)/1000</f>
        <v>17820</v>
      </c>
      <c r="I53" s="226">
        <f t="shared" si="0"/>
        <v>-325366</v>
      </c>
      <c r="J53" s="103">
        <f t="shared" si="5"/>
        <v>0</v>
      </c>
      <c r="K53" s="129"/>
      <c r="L53" s="16"/>
      <c r="M53" s="142"/>
      <c r="N53" s="130"/>
      <c r="O53" s="113">
        <f t="shared" si="10"/>
        <v>99000</v>
      </c>
      <c r="P53" s="136"/>
      <c r="Q53" s="102"/>
      <c r="R53" s="107">
        <f t="shared" si="6"/>
        <v>0</v>
      </c>
      <c r="S53" s="108"/>
      <c r="T53" s="109"/>
      <c r="U53" s="108"/>
      <c r="V53" s="91"/>
      <c r="W53" s="92"/>
    </row>
    <row r="54" spans="1:23" x14ac:dyDescent="0.25">
      <c r="A54" s="25">
        <f t="shared" si="11"/>
        <v>42</v>
      </c>
      <c r="B54" s="401">
        <f t="shared" si="11"/>
        <v>46148</v>
      </c>
      <c r="C54" s="402"/>
      <c r="D54" s="110">
        <f t="shared" si="2"/>
        <v>87000</v>
      </c>
      <c r="E54" s="99"/>
      <c r="F54" s="99"/>
      <c r="G54" s="135">
        <v>0</v>
      </c>
      <c r="H54" s="102">
        <f>('Consumption Guide'!G49*O54)/1000</f>
        <v>17919</v>
      </c>
      <c r="I54" s="225">
        <f t="shared" si="0"/>
        <v>-343285</v>
      </c>
      <c r="J54" s="103">
        <f t="shared" si="5"/>
        <v>0</v>
      </c>
      <c r="K54" s="138"/>
      <c r="L54" s="99"/>
      <c r="M54" s="142"/>
      <c r="N54" s="99"/>
      <c r="O54" s="113">
        <f t="shared" si="10"/>
        <v>99000</v>
      </c>
      <c r="P54" s="136"/>
      <c r="Q54" s="102"/>
      <c r="R54" s="107">
        <f t="shared" si="6"/>
        <v>0</v>
      </c>
      <c r="S54" s="108"/>
      <c r="T54" s="109"/>
      <c r="U54" s="109"/>
      <c r="V54" s="91"/>
      <c r="W54" s="92"/>
    </row>
    <row r="55" spans="1:23" x14ac:dyDescent="0.25">
      <c r="A55" s="25">
        <f t="shared" si="11"/>
        <v>43</v>
      </c>
      <c r="B55" s="401">
        <f t="shared" si="11"/>
        <v>46149</v>
      </c>
      <c r="C55" s="402"/>
      <c r="D55" s="110">
        <f t="shared" si="2"/>
        <v>87000</v>
      </c>
      <c r="E55" s="99"/>
      <c r="F55" s="99"/>
      <c r="G55" s="135">
        <v>0</v>
      </c>
      <c r="H55" s="102">
        <f>('Consumption Guide'!G50*O55)/1000</f>
        <v>18612</v>
      </c>
      <c r="I55" s="225">
        <f t="shared" si="0"/>
        <v>-361897</v>
      </c>
      <c r="J55" s="103">
        <f t="shared" si="5"/>
        <v>0</v>
      </c>
      <c r="K55" s="138"/>
      <c r="L55" s="99"/>
      <c r="M55" s="118"/>
      <c r="N55" s="99"/>
      <c r="O55" s="113">
        <f t="shared" si="10"/>
        <v>99000</v>
      </c>
      <c r="P55" s="136"/>
      <c r="Q55" s="102"/>
      <c r="R55" s="107">
        <f t="shared" si="6"/>
        <v>0</v>
      </c>
      <c r="S55" s="108"/>
      <c r="T55" s="109"/>
      <c r="U55" s="108"/>
      <c r="V55" s="91"/>
      <c r="W55" s="92"/>
    </row>
    <row r="56" spans="1:23" s="124" customFormat="1" x14ac:dyDescent="0.25">
      <c r="A56" s="124">
        <f t="shared" si="11"/>
        <v>44</v>
      </c>
      <c r="B56" s="401">
        <f t="shared" si="11"/>
        <v>46150</v>
      </c>
      <c r="C56" s="402"/>
      <c r="D56" s="110">
        <f t="shared" si="2"/>
        <v>87000</v>
      </c>
      <c r="E56" s="99"/>
      <c r="F56" s="99"/>
      <c r="G56" s="135">
        <v>0</v>
      </c>
      <c r="H56" s="102">
        <f>('Consumption Guide'!G51*O56)/1000</f>
        <v>18810</v>
      </c>
      <c r="I56" s="102">
        <f t="shared" si="0"/>
        <v>-380707</v>
      </c>
      <c r="J56" s="103">
        <f t="shared" si="5"/>
        <v>0</v>
      </c>
      <c r="K56" s="138"/>
      <c r="L56" s="99"/>
      <c r="M56" s="118"/>
      <c r="N56" s="170"/>
      <c r="O56" s="113">
        <f t="shared" si="10"/>
        <v>99000</v>
      </c>
      <c r="P56" s="136"/>
      <c r="Q56" s="102"/>
      <c r="R56" s="107">
        <f t="shared" si="6"/>
        <v>0</v>
      </c>
      <c r="S56" s="108"/>
      <c r="T56" s="109"/>
      <c r="U56" s="108"/>
      <c r="V56" s="127"/>
      <c r="W56" s="128"/>
    </row>
    <row r="57" spans="1:23" x14ac:dyDescent="0.25">
      <c r="A57" s="25">
        <f t="shared" si="11"/>
        <v>45</v>
      </c>
      <c r="B57" s="401">
        <f t="shared" si="11"/>
        <v>46151</v>
      </c>
      <c r="C57" s="402"/>
      <c r="D57" s="110">
        <f t="shared" si="2"/>
        <v>87000</v>
      </c>
      <c r="E57" s="99"/>
      <c r="F57" s="99"/>
      <c r="G57" s="135">
        <v>0</v>
      </c>
      <c r="H57" s="102">
        <f>('Consumption Guide'!G52*O57)/1000</f>
        <v>19008</v>
      </c>
      <c r="I57" s="225">
        <f t="shared" si="0"/>
        <v>-399715</v>
      </c>
      <c r="J57" s="103">
        <f t="shared" si="5"/>
        <v>0</v>
      </c>
      <c r="K57" s="138"/>
      <c r="L57" s="99"/>
      <c r="M57" s="118"/>
      <c r="N57" s="99"/>
      <c r="O57" s="113">
        <f t="shared" si="10"/>
        <v>99000</v>
      </c>
      <c r="P57" s="136"/>
      <c r="Q57" s="102"/>
      <c r="R57" s="107">
        <f t="shared" si="6"/>
        <v>0</v>
      </c>
      <c r="S57" s="108"/>
      <c r="T57" s="109"/>
      <c r="U57" s="109"/>
      <c r="V57" s="91"/>
      <c r="W57" s="92"/>
    </row>
    <row r="58" spans="1:23" s="124" customFormat="1" x14ac:dyDescent="0.25">
      <c r="A58" s="124">
        <f t="shared" si="11"/>
        <v>46</v>
      </c>
      <c r="B58" s="401">
        <f t="shared" si="11"/>
        <v>46152</v>
      </c>
      <c r="C58" s="402"/>
      <c r="D58" s="110">
        <f t="shared" si="2"/>
        <v>87000</v>
      </c>
      <c r="E58" s="99"/>
      <c r="F58" s="99"/>
      <c r="G58" s="135">
        <v>0</v>
      </c>
      <c r="H58" s="102">
        <f>('Consumption Guide'!G53*O58)/1000</f>
        <v>19107</v>
      </c>
      <c r="I58" s="225">
        <f t="shared" si="0"/>
        <v>-418822</v>
      </c>
      <c r="J58" s="103">
        <f t="shared" si="5"/>
        <v>0</v>
      </c>
      <c r="K58" s="138"/>
      <c r="L58" s="99"/>
      <c r="M58" s="118"/>
      <c r="N58" s="99"/>
      <c r="O58" s="113">
        <f t="shared" si="10"/>
        <v>99000</v>
      </c>
      <c r="P58" s="136"/>
      <c r="Q58" s="102"/>
      <c r="R58" s="107">
        <f t="shared" si="6"/>
        <v>0</v>
      </c>
      <c r="S58" s="108"/>
      <c r="T58" s="109"/>
      <c r="U58" s="109"/>
      <c r="V58" s="127"/>
      <c r="W58" s="128"/>
    </row>
    <row r="59" spans="1:23" s="124" customFormat="1" x14ac:dyDescent="0.25">
      <c r="A59" s="124">
        <f t="shared" si="11"/>
        <v>47</v>
      </c>
      <c r="B59" s="401">
        <f t="shared" si="11"/>
        <v>46153</v>
      </c>
      <c r="C59" s="402"/>
      <c r="D59" s="110">
        <f>D58+E59</f>
        <v>87000</v>
      </c>
      <c r="E59" s="99"/>
      <c r="F59" s="99"/>
      <c r="G59" s="135">
        <v>0</v>
      </c>
      <c r="H59" s="102">
        <f>('Consumption Guide'!G54*O59)/1000</f>
        <v>19206</v>
      </c>
      <c r="I59" s="225">
        <f>IF((J59&gt;0),(J59-H59+E59),(I58-H59+E59))</f>
        <v>-438028</v>
      </c>
      <c r="J59" s="103">
        <f t="shared" si="5"/>
        <v>0</v>
      </c>
      <c r="K59" s="138"/>
      <c r="L59" s="99"/>
      <c r="M59" s="118"/>
      <c r="N59" s="99"/>
      <c r="O59" s="113">
        <f t="shared" si="10"/>
        <v>99000</v>
      </c>
      <c r="P59" s="136"/>
      <c r="Q59" s="102"/>
      <c r="R59" s="107">
        <f t="shared" si="6"/>
        <v>0</v>
      </c>
      <c r="S59" s="108"/>
      <c r="T59" s="109"/>
      <c r="U59" s="108"/>
      <c r="V59" s="127"/>
      <c r="W59" s="128"/>
    </row>
    <row r="60" spans="1:23" s="124" customFormat="1" x14ac:dyDescent="0.25">
      <c r="A60" s="124">
        <f t="shared" si="11"/>
        <v>48</v>
      </c>
      <c r="B60" s="401">
        <f t="shared" si="11"/>
        <v>46154</v>
      </c>
      <c r="C60" s="402"/>
      <c r="D60" s="110">
        <f t="shared" si="2"/>
        <v>87000</v>
      </c>
      <c r="E60" s="99"/>
      <c r="F60" s="99"/>
      <c r="G60" s="135">
        <v>0</v>
      </c>
      <c r="H60" s="102">
        <f>('Consumption Guide'!G55*O60)/1000</f>
        <v>19305</v>
      </c>
      <c r="I60" s="225">
        <f t="shared" si="0"/>
        <v>-457333</v>
      </c>
      <c r="J60" s="103">
        <f t="shared" si="5"/>
        <v>0</v>
      </c>
      <c r="K60" s="138"/>
      <c r="L60" s="99"/>
      <c r="M60" s="118"/>
      <c r="N60" s="16"/>
      <c r="O60" s="113">
        <f t="shared" si="10"/>
        <v>99000</v>
      </c>
      <c r="P60" s="136"/>
      <c r="Q60" s="102"/>
      <c r="R60" s="107">
        <f t="shared" si="6"/>
        <v>0</v>
      </c>
      <c r="S60" s="108"/>
      <c r="T60" s="109"/>
      <c r="U60" s="108"/>
      <c r="V60" s="127"/>
      <c r="W60" s="128"/>
    </row>
    <row r="61" spans="1:23" s="124" customFormat="1" x14ac:dyDescent="0.25">
      <c r="A61" s="124">
        <f t="shared" si="11"/>
        <v>49</v>
      </c>
      <c r="B61" s="401">
        <f t="shared" si="11"/>
        <v>46155</v>
      </c>
      <c r="C61" s="402"/>
      <c r="D61" s="110">
        <f>D60+E61</f>
        <v>87000</v>
      </c>
      <c r="E61" s="99"/>
      <c r="F61" s="99"/>
      <c r="G61" s="135">
        <v>0</v>
      </c>
      <c r="H61" s="102">
        <f>('Consumption Guide'!G56*O61)/1000</f>
        <v>19404</v>
      </c>
      <c r="I61" s="102">
        <f>IF((J61&gt;0),(J61-H61+E61),(I60-H61+E61))</f>
        <v>-476737</v>
      </c>
      <c r="J61" s="103">
        <f t="shared" si="5"/>
        <v>0</v>
      </c>
      <c r="K61" s="138"/>
      <c r="L61" s="99"/>
      <c r="M61" s="118"/>
      <c r="N61" s="16"/>
      <c r="O61" s="113">
        <f>SUM(O60-N61)</f>
        <v>99000</v>
      </c>
      <c r="P61" s="136"/>
      <c r="Q61" s="102"/>
      <c r="R61" s="107">
        <f t="shared" si="6"/>
        <v>0</v>
      </c>
      <c r="S61" s="108"/>
      <c r="T61" s="109"/>
      <c r="U61" s="108"/>
      <c r="V61" s="127"/>
      <c r="W61" s="128"/>
    </row>
    <row r="62" spans="1:23" s="124" customFormat="1" x14ac:dyDescent="0.25">
      <c r="A62" s="124">
        <f t="shared" si="11"/>
        <v>50</v>
      </c>
      <c r="B62" s="401">
        <f t="shared" si="11"/>
        <v>46156</v>
      </c>
      <c r="C62" s="402"/>
      <c r="D62" s="110">
        <f t="shared" si="2"/>
        <v>87000</v>
      </c>
      <c r="E62" s="99"/>
      <c r="F62" s="99"/>
      <c r="G62" s="135">
        <v>0</v>
      </c>
      <c r="H62" s="102">
        <f>('Consumption Guide'!G57*O62)/1000</f>
        <v>19503</v>
      </c>
      <c r="I62" s="102">
        <f t="shared" si="0"/>
        <v>-496240</v>
      </c>
      <c r="J62" s="103">
        <f t="shared" si="5"/>
        <v>0</v>
      </c>
      <c r="K62" s="138"/>
      <c r="L62" s="99"/>
      <c r="M62" s="118"/>
      <c r="N62" s="170"/>
      <c r="O62" s="113">
        <f>SUM(O61-N62)</f>
        <v>99000</v>
      </c>
      <c r="P62" s="136"/>
      <c r="Q62" s="102"/>
      <c r="R62" s="107">
        <f t="shared" si="6"/>
        <v>0</v>
      </c>
      <c r="S62" s="108"/>
      <c r="T62" s="109"/>
      <c r="U62" s="108"/>
      <c r="V62" s="127"/>
      <c r="W62" s="128"/>
    </row>
    <row r="63" spans="1:23" s="124" customFormat="1" x14ac:dyDescent="0.25">
      <c r="A63" s="124">
        <f t="shared" ref="A63:B72" si="12">A62+1</f>
        <v>51</v>
      </c>
      <c r="B63" s="401">
        <f t="shared" si="12"/>
        <v>46157</v>
      </c>
      <c r="C63" s="402"/>
      <c r="D63" s="110">
        <f t="shared" si="2"/>
        <v>87000</v>
      </c>
      <c r="E63" s="99"/>
      <c r="F63" s="99"/>
      <c r="G63" s="135">
        <v>0</v>
      </c>
      <c r="H63" s="102">
        <f>('Consumption Guide'!G58*O63)/1000</f>
        <v>19503</v>
      </c>
      <c r="I63" s="225">
        <f t="shared" si="0"/>
        <v>-515743</v>
      </c>
      <c r="J63" s="103">
        <f>(K63+M63+L63)</f>
        <v>0</v>
      </c>
      <c r="K63" s="138"/>
      <c r="L63" s="99"/>
      <c r="M63" s="118"/>
      <c r="N63" s="99"/>
      <c r="O63" s="113">
        <f t="shared" si="10"/>
        <v>99000</v>
      </c>
      <c r="P63" s="143"/>
      <c r="Q63" s="102"/>
      <c r="R63" s="107">
        <f t="shared" si="6"/>
        <v>0</v>
      </c>
      <c r="S63" s="108"/>
      <c r="T63" s="109"/>
      <c r="U63" s="109"/>
      <c r="V63" s="127"/>
      <c r="W63" s="128"/>
    </row>
    <row r="64" spans="1:23" s="124" customFormat="1" x14ac:dyDescent="0.25">
      <c r="A64" s="124">
        <f t="shared" si="12"/>
        <v>52</v>
      </c>
      <c r="B64" s="401">
        <f t="shared" si="12"/>
        <v>46158</v>
      </c>
      <c r="C64" s="402"/>
      <c r="D64" s="110">
        <f t="shared" si="2"/>
        <v>87000</v>
      </c>
      <c r="E64" s="99"/>
      <c r="F64" s="99"/>
      <c r="G64" s="135">
        <v>0</v>
      </c>
      <c r="H64" s="102">
        <f>('Consumption Guide'!G59*O64)/1000</f>
        <v>19503</v>
      </c>
      <c r="I64" s="102">
        <f t="shared" si="0"/>
        <v>-535246</v>
      </c>
      <c r="J64" s="103">
        <f>(K64+M64+L64)</f>
        <v>0</v>
      </c>
      <c r="K64" s="138"/>
      <c r="L64" s="99"/>
      <c r="M64" s="119"/>
      <c r="N64" s="99"/>
      <c r="O64" s="113">
        <f t="shared" si="10"/>
        <v>99000</v>
      </c>
      <c r="P64" s="136"/>
      <c r="Q64" s="102"/>
      <c r="R64" s="107">
        <f t="shared" si="6"/>
        <v>0</v>
      </c>
      <c r="S64" s="108"/>
      <c r="T64" s="109"/>
      <c r="U64" s="144"/>
      <c r="V64" s="127"/>
      <c r="W64" s="128"/>
    </row>
    <row r="65" spans="1:23" s="124" customFormat="1" x14ac:dyDescent="0.25">
      <c r="A65" s="124">
        <f t="shared" si="12"/>
        <v>53</v>
      </c>
      <c r="B65" s="401">
        <f t="shared" si="12"/>
        <v>46159</v>
      </c>
      <c r="C65" s="402"/>
      <c r="D65" s="110">
        <f t="shared" si="2"/>
        <v>87000</v>
      </c>
      <c r="E65" s="99"/>
      <c r="F65" s="99"/>
      <c r="G65" s="135">
        <v>0</v>
      </c>
      <c r="H65" s="102">
        <f>('Consumption Guide'!G60*O65)/1000</f>
        <v>19602</v>
      </c>
      <c r="I65" s="102">
        <f t="shared" si="0"/>
        <v>-554848</v>
      </c>
      <c r="J65" s="103">
        <f>(K65+M65+L65)</f>
        <v>0</v>
      </c>
      <c r="K65" s="138"/>
      <c r="L65" s="99"/>
      <c r="M65" s="119"/>
      <c r="N65" s="99"/>
      <c r="O65" s="113">
        <f t="shared" si="10"/>
        <v>99000</v>
      </c>
      <c r="P65" s="136"/>
      <c r="Q65" s="102"/>
      <c r="R65" s="107">
        <f t="shared" si="6"/>
        <v>0</v>
      </c>
      <c r="S65" s="108"/>
      <c r="T65" s="109"/>
      <c r="U65" s="109"/>
      <c r="V65" s="127"/>
      <c r="W65" s="128"/>
    </row>
    <row r="66" spans="1:23" s="124" customFormat="1" x14ac:dyDescent="0.25">
      <c r="A66" s="124">
        <f t="shared" si="12"/>
        <v>54</v>
      </c>
      <c r="B66" s="401">
        <f t="shared" si="12"/>
        <v>46160</v>
      </c>
      <c r="C66" s="402"/>
      <c r="D66" s="110">
        <f t="shared" si="2"/>
        <v>87000</v>
      </c>
      <c r="E66" s="99"/>
      <c r="F66" s="99"/>
      <c r="G66" s="135">
        <v>0</v>
      </c>
      <c r="H66" s="102">
        <f>('Consumption Guide'!G61*O66)/1000</f>
        <v>19503</v>
      </c>
      <c r="I66" s="102">
        <f t="shared" si="0"/>
        <v>-574351</v>
      </c>
      <c r="J66" s="103">
        <f>(K66+M66+L66)</f>
        <v>0</v>
      </c>
      <c r="K66" s="138"/>
      <c r="L66" s="99"/>
      <c r="M66" s="119"/>
      <c r="N66" s="99"/>
      <c r="O66" s="113">
        <f t="shared" si="10"/>
        <v>99000</v>
      </c>
      <c r="P66" s="173"/>
      <c r="Q66" s="102"/>
      <c r="R66" s="107">
        <f t="shared" si="6"/>
        <v>0</v>
      </c>
      <c r="S66" s="108"/>
      <c r="T66" s="109"/>
      <c r="U66" s="109"/>
      <c r="V66" s="127"/>
      <c r="W66" s="128"/>
    </row>
    <row r="67" spans="1:23" s="124" customFormat="1" ht="21" customHeight="1" x14ac:dyDescent="0.25">
      <c r="A67" s="124">
        <f t="shared" si="12"/>
        <v>55</v>
      </c>
      <c r="B67" s="401">
        <f t="shared" si="12"/>
        <v>46161</v>
      </c>
      <c r="C67" s="402"/>
      <c r="D67" s="110">
        <f t="shared" si="2"/>
        <v>87000</v>
      </c>
      <c r="E67" s="99"/>
      <c r="F67" s="99"/>
      <c r="G67" s="135">
        <v>0</v>
      </c>
      <c r="H67" s="102">
        <f>('Consumption Guide'!G62*O67)/1000</f>
        <v>19602</v>
      </c>
      <c r="I67" s="102">
        <f t="shared" si="0"/>
        <v>-593953</v>
      </c>
      <c r="J67" s="103">
        <f t="shared" si="5"/>
        <v>0</v>
      </c>
      <c r="K67" s="138"/>
      <c r="L67" s="99"/>
      <c r="M67" s="119"/>
      <c r="N67" s="99"/>
      <c r="O67" s="113">
        <f t="shared" si="10"/>
        <v>99000</v>
      </c>
      <c r="P67" s="136"/>
      <c r="Q67" s="102"/>
      <c r="R67" s="107">
        <f t="shared" si="6"/>
        <v>0</v>
      </c>
      <c r="S67" s="108"/>
      <c r="T67" s="109"/>
      <c r="U67" s="109"/>
      <c r="V67" s="127"/>
      <c r="W67" s="128"/>
    </row>
    <row r="68" spans="1:23" x14ac:dyDescent="0.25">
      <c r="A68" s="25">
        <f t="shared" si="12"/>
        <v>56</v>
      </c>
      <c r="B68" s="401">
        <f t="shared" si="12"/>
        <v>46162</v>
      </c>
      <c r="C68" s="402"/>
      <c r="D68" s="110">
        <f t="shared" si="2"/>
        <v>87000</v>
      </c>
      <c r="E68" s="99"/>
      <c r="F68" s="99"/>
      <c r="G68" s="135">
        <v>0</v>
      </c>
      <c r="H68" s="102">
        <f>('Consumption Guide'!G63*O68)/1000</f>
        <v>19503</v>
      </c>
      <c r="I68" s="225">
        <f t="shared" si="0"/>
        <v>-613456</v>
      </c>
      <c r="J68" s="103">
        <f t="shared" si="5"/>
        <v>0</v>
      </c>
      <c r="K68" s="145"/>
      <c r="L68" s="97"/>
      <c r="M68" s="119"/>
      <c r="N68" s="130"/>
      <c r="O68" s="113">
        <f t="shared" si="10"/>
        <v>99000</v>
      </c>
      <c r="P68" s="136"/>
      <c r="Q68" s="102"/>
      <c r="R68" s="107">
        <f t="shared" si="6"/>
        <v>0</v>
      </c>
      <c r="S68" s="108"/>
      <c r="T68" s="109"/>
      <c r="U68" s="109"/>
      <c r="V68" s="91"/>
      <c r="W68" s="92"/>
    </row>
    <row r="69" spans="1:23" s="124" customFormat="1" x14ac:dyDescent="0.25">
      <c r="A69" s="124">
        <f t="shared" si="12"/>
        <v>57</v>
      </c>
      <c r="B69" s="401">
        <f t="shared" si="12"/>
        <v>46163</v>
      </c>
      <c r="C69" s="402"/>
      <c r="D69" s="110">
        <f t="shared" si="2"/>
        <v>87000</v>
      </c>
      <c r="E69" s="99"/>
      <c r="F69" s="99"/>
      <c r="G69" s="135">
        <f>G68-E69</f>
        <v>0</v>
      </c>
      <c r="H69" s="102">
        <f>('Consumption Guide'!G64*O69)/1000</f>
        <v>19305</v>
      </c>
      <c r="I69" s="225">
        <f t="shared" si="0"/>
        <v>-632761</v>
      </c>
      <c r="J69" s="103">
        <f t="shared" si="5"/>
        <v>0</v>
      </c>
      <c r="K69" s="145"/>
      <c r="L69" s="97"/>
      <c r="M69" s="119"/>
      <c r="N69" s="130"/>
      <c r="O69" s="113">
        <f t="shared" si="10"/>
        <v>99000</v>
      </c>
      <c r="P69" s="136"/>
      <c r="Q69" s="102"/>
      <c r="R69" s="107">
        <f t="shared" si="6"/>
        <v>0</v>
      </c>
      <c r="S69" s="108"/>
      <c r="T69" s="109"/>
      <c r="U69" s="109"/>
      <c r="V69" s="127"/>
      <c r="W69" s="128"/>
    </row>
    <row r="70" spans="1:23" x14ac:dyDescent="0.25">
      <c r="A70" s="25">
        <f t="shared" si="12"/>
        <v>58</v>
      </c>
      <c r="B70" s="401">
        <f t="shared" si="12"/>
        <v>46164</v>
      </c>
      <c r="C70" s="402"/>
      <c r="D70" s="110">
        <f t="shared" si="2"/>
        <v>87000</v>
      </c>
      <c r="E70" s="99"/>
      <c r="F70" s="99"/>
      <c r="G70" s="135">
        <f>G69-E70</f>
        <v>0</v>
      </c>
      <c r="H70" s="102">
        <f>('Consumption Guide'!G65*O70)/1000</f>
        <v>19305</v>
      </c>
      <c r="I70" s="225">
        <f t="shared" si="0"/>
        <v>-652066</v>
      </c>
      <c r="J70" s="103">
        <v>0</v>
      </c>
      <c r="K70" s="146"/>
      <c r="L70" s="147"/>
      <c r="M70" s="148"/>
      <c r="N70" s="130"/>
      <c r="O70" s="102">
        <f t="shared" si="10"/>
        <v>99000</v>
      </c>
      <c r="P70" s="107"/>
      <c r="Q70" s="102"/>
      <c r="R70" s="107">
        <f t="shared" si="6"/>
        <v>0</v>
      </c>
      <c r="S70" s="108"/>
      <c r="T70" s="109"/>
      <c r="U70" s="109"/>
      <c r="V70" s="91"/>
      <c r="W70" s="23"/>
    </row>
    <row r="71" spans="1:23" x14ac:dyDescent="0.25">
      <c r="A71" s="25">
        <f t="shared" si="12"/>
        <v>59</v>
      </c>
      <c r="B71" s="401">
        <f t="shared" si="12"/>
        <v>46165</v>
      </c>
      <c r="C71" s="402"/>
      <c r="D71" s="110">
        <f t="shared" si="2"/>
        <v>87000</v>
      </c>
      <c r="E71" s="99"/>
      <c r="F71" s="99"/>
      <c r="G71" s="99"/>
      <c r="H71" s="102">
        <f>('Consumption Guide'!G66*O71)/1000</f>
        <v>19305</v>
      </c>
      <c r="I71" s="225">
        <f t="shared" si="0"/>
        <v>-671371</v>
      </c>
      <c r="J71" s="103">
        <f t="shared" si="5"/>
        <v>0</v>
      </c>
      <c r="K71" s="146"/>
      <c r="L71" s="147"/>
      <c r="M71" s="148"/>
      <c r="N71" s="130"/>
      <c r="O71" s="102">
        <f t="shared" si="10"/>
        <v>99000</v>
      </c>
      <c r="P71" s="136"/>
      <c r="Q71" s="102"/>
      <c r="R71" s="107">
        <f t="shared" si="6"/>
        <v>0</v>
      </c>
      <c r="S71" s="108"/>
      <c r="T71" s="109"/>
      <c r="U71" s="109"/>
      <c r="V71" s="91"/>
      <c r="W71" s="23"/>
    </row>
    <row r="72" spans="1:23" ht="23.25" thickBot="1" x14ac:dyDescent="0.3">
      <c r="A72" s="25">
        <f t="shared" si="12"/>
        <v>60</v>
      </c>
      <c r="B72" s="403"/>
      <c r="C72" s="404"/>
      <c r="D72" s="149">
        <f t="shared" si="2"/>
        <v>87000</v>
      </c>
      <c r="E72" s="150"/>
      <c r="F72" s="150"/>
      <c r="G72" s="150"/>
      <c r="H72" s="151">
        <f>('Consumption Guide'!G67*O72)/1000</f>
        <v>19305</v>
      </c>
      <c r="I72" s="227">
        <f t="shared" si="0"/>
        <v>-690676</v>
      </c>
      <c r="J72" s="152">
        <f t="shared" si="5"/>
        <v>0</v>
      </c>
      <c r="K72" s="153"/>
      <c r="L72" s="154"/>
      <c r="M72" s="155"/>
      <c r="N72" s="156"/>
      <c r="O72" s="151">
        <f t="shared" si="10"/>
        <v>99000</v>
      </c>
      <c r="P72" s="157"/>
      <c r="Q72" s="158"/>
      <c r="R72" s="107">
        <f t="shared" si="6"/>
        <v>0</v>
      </c>
      <c r="S72" s="108"/>
      <c r="T72" s="109"/>
      <c r="U72" s="109"/>
      <c r="V72" s="91"/>
      <c r="W72" s="23"/>
    </row>
    <row r="73" spans="1:23" x14ac:dyDescent="0.25">
      <c r="A73" s="83"/>
      <c r="B73" s="159"/>
      <c r="C73" s="160"/>
      <c r="D73" s="78"/>
      <c r="E73" s="78"/>
      <c r="F73" s="78"/>
      <c r="G73" s="78"/>
      <c r="H73" s="66"/>
      <c r="I73" s="66"/>
      <c r="J73" s="161"/>
      <c r="K73" s="405" t="s">
        <v>50</v>
      </c>
      <c r="L73" s="406"/>
      <c r="M73" s="407"/>
      <c r="N73" s="42">
        <f>N51</f>
        <v>0</v>
      </c>
      <c r="O73" s="66"/>
      <c r="P73" s="67"/>
      <c r="Q73" s="39"/>
      <c r="R73" s="39"/>
      <c r="S73" s="162"/>
      <c r="T73" s="90"/>
      <c r="U73" s="89"/>
      <c r="V73" s="91"/>
    </row>
    <row r="74" spans="1:23" x14ac:dyDescent="0.25">
      <c r="B74" s="163"/>
      <c r="C74" s="164"/>
      <c r="D74" s="19"/>
      <c r="E74" s="19"/>
      <c r="F74" s="19"/>
      <c r="G74" s="19"/>
      <c r="H74" s="39"/>
      <c r="I74" s="39"/>
      <c r="J74" s="17"/>
      <c r="K74" s="408" t="s">
        <v>51</v>
      </c>
      <c r="L74" s="409"/>
      <c r="M74" s="410"/>
      <c r="N74" s="165">
        <f>N44+N46+N47+N54+N55+N63+N64</f>
        <v>0</v>
      </c>
      <c r="O74" s="39"/>
      <c r="P74" s="29"/>
      <c r="Q74" s="39"/>
      <c r="R74" s="39"/>
      <c r="S74" s="89"/>
      <c r="T74" s="90"/>
      <c r="U74" s="89"/>
      <c r="V74" s="91"/>
    </row>
    <row r="75" spans="1:23" x14ac:dyDescent="0.25">
      <c r="B75" s="163"/>
      <c r="C75" s="411" t="s">
        <v>45</v>
      </c>
      <c r="D75" s="412"/>
      <c r="E75" s="166">
        <f>SUM(E12:E72)</f>
        <v>87000</v>
      </c>
      <c r="F75" s="19"/>
      <c r="G75" s="19">
        <f>SUM(E47:E65)</f>
        <v>0</v>
      </c>
      <c r="H75" s="39"/>
      <c r="I75" s="39"/>
      <c r="J75" s="17"/>
      <c r="K75" s="161"/>
      <c r="L75" s="161"/>
      <c r="M75" s="161"/>
      <c r="N75" s="17"/>
      <c r="O75" s="39"/>
      <c r="P75" s="29"/>
      <c r="Q75" s="39"/>
      <c r="R75" s="39"/>
      <c r="S75" s="89"/>
      <c r="T75" s="90"/>
      <c r="U75" s="89"/>
      <c r="V75" s="91"/>
    </row>
    <row r="76" spans="1:23" x14ac:dyDescent="0.25">
      <c r="B76" s="163"/>
      <c r="C76" s="164"/>
      <c r="D76" s="19"/>
      <c r="E76" s="19"/>
      <c r="F76" s="19"/>
      <c r="G76" s="19"/>
      <c r="H76" s="39"/>
      <c r="I76" s="39"/>
      <c r="J76" s="17"/>
      <c r="K76" s="17"/>
      <c r="L76" s="17"/>
      <c r="M76" s="17"/>
      <c r="N76" s="17"/>
      <c r="O76" s="39"/>
      <c r="P76" s="29"/>
      <c r="Q76" s="39"/>
      <c r="R76" s="39"/>
      <c r="S76" s="89"/>
      <c r="T76" s="90"/>
      <c r="U76" s="89"/>
      <c r="V76" s="91"/>
    </row>
    <row r="77" spans="1:23" x14ac:dyDescent="0.25">
      <c r="B77" s="163"/>
      <c r="C77" s="164"/>
      <c r="D77" s="167">
        <f>E75/C2</f>
        <v>0.87878787878787878</v>
      </c>
      <c r="E77" s="168" t="s">
        <v>46</v>
      </c>
      <c r="F77" s="19"/>
      <c r="G77" s="19"/>
      <c r="H77" s="39"/>
      <c r="I77" s="39"/>
      <c r="J77" s="17"/>
      <c r="K77" s="17"/>
      <c r="L77" s="17"/>
      <c r="M77" s="17"/>
      <c r="N77" s="17"/>
      <c r="O77" s="39"/>
      <c r="P77" s="29"/>
      <c r="Q77" s="39"/>
      <c r="R77" s="39"/>
      <c r="S77" s="89"/>
      <c r="T77" s="90"/>
      <c r="U77" s="89"/>
      <c r="V77" s="91"/>
    </row>
    <row r="78" spans="1:23" x14ac:dyDescent="0.25">
      <c r="B78" s="163"/>
      <c r="C78" s="164"/>
      <c r="D78" s="19"/>
      <c r="E78" s="19"/>
      <c r="F78" s="19"/>
      <c r="G78" s="19"/>
      <c r="H78" s="39"/>
      <c r="I78" s="39"/>
      <c r="J78" s="17"/>
      <c r="K78" s="17"/>
      <c r="L78" s="17"/>
      <c r="M78" s="17"/>
      <c r="N78" s="17"/>
      <c r="O78" s="39">
        <f>N33+N51</f>
        <v>0</v>
      </c>
      <c r="P78" s="29"/>
      <c r="Q78" s="39"/>
      <c r="R78" s="17"/>
      <c r="S78" s="89"/>
      <c r="T78" s="90"/>
      <c r="U78" s="89"/>
      <c r="V78" s="91"/>
    </row>
  </sheetData>
  <mergeCells count="65">
    <mergeCell ref="B22:C22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6:C4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58:C5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K73:M73"/>
    <mergeCell ref="K74:M74"/>
    <mergeCell ref="C75:D75"/>
  </mergeCells>
  <conditionalFormatting sqref="I13:I72">
    <cfRule type="expression" dxfId="0" priority="1">
      <formula>$I13:$I72&lt;0.001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  <pageSetUpPr fitToPage="1"/>
  </sheetPr>
  <dimension ref="B1:I30"/>
  <sheetViews>
    <sheetView workbookViewId="0">
      <selection activeCell="I29" sqref="I29"/>
    </sheetView>
  </sheetViews>
  <sheetFormatPr defaultColWidth="9.16796875" defaultRowHeight="18" x14ac:dyDescent="0.2"/>
  <cols>
    <col min="1" max="1" width="1.88671875" style="250" customWidth="1"/>
    <col min="2" max="2" width="11.0546875" style="250" customWidth="1"/>
    <col min="3" max="3" width="7.01171875" style="250" customWidth="1"/>
    <col min="4" max="4" width="12.5390625" style="250" customWidth="1"/>
    <col min="5" max="5" width="11.4609375" style="250" customWidth="1"/>
    <col min="6" max="6" width="12.5390625" style="250" customWidth="1"/>
    <col min="7" max="7" width="16.31640625" style="250" customWidth="1"/>
    <col min="8" max="8" width="13.88671875" style="250" customWidth="1"/>
    <col min="9" max="9" width="11.0546875" style="250" customWidth="1"/>
    <col min="10" max="16384" width="9.16796875" style="250"/>
  </cols>
  <sheetData>
    <row r="1" spans="2:9" ht="18.75" thickBot="1" x14ac:dyDescent="0.25"/>
    <row r="2" spans="2:9" ht="18.75" thickBot="1" x14ac:dyDescent="0.25">
      <c r="B2" s="395" t="s">
        <v>60</v>
      </c>
      <c r="C2" s="396"/>
      <c r="D2" s="396"/>
      <c r="E2" s="396"/>
      <c r="F2" s="396"/>
      <c r="G2" s="396"/>
      <c r="H2" s="396"/>
      <c r="I2" s="397"/>
    </row>
    <row r="3" spans="2:9" ht="18.75" thickBot="1" x14ac:dyDescent="0.25">
      <c r="B3" s="220" t="s">
        <v>41</v>
      </c>
      <c r="C3" s="392"/>
      <c r="D3" s="392"/>
      <c r="E3" s="221"/>
      <c r="F3" s="251"/>
      <c r="G3" s="251"/>
      <c r="H3" s="251"/>
      <c r="I3" s="252"/>
    </row>
    <row r="4" spans="2:9" ht="18.75" thickBot="1" x14ac:dyDescent="0.25">
      <c r="B4" s="222" t="s">
        <v>42</v>
      </c>
      <c r="C4" s="393" t="s">
        <v>114</v>
      </c>
      <c r="D4" s="394"/>
      <c r="E4" s="253" t="s">
        <v>71</v>
      </c>
      <c r="F4" s="253" t="s">
        <v>70</v>
      </c>
      <c r="G4" s="253" t="s">
        <v>68</v>
      </c>
      <c r="H4" s="253" t="s">
        <v>69</v>
      </c>
      <c r="I4" s="254" t="s">
        <v>67</v>
      </c>
    </row>
    <row r="5" spans="2:9" s="265" customFormat="1" ht="39" x14ac:dyDescent="0.15">
      <c r="B5" s="261" t="s">
        <v>43</v>
      </c>
      <c r="C5" s="262" t="s">
        <v>19</v>
      </c>
      <c r="D5" s="263" t="s">
        <v>40</v>
      </c>
      <c r="E5" s="262" t="s">
        <v>61</v>
      </c>
      <c r="F5" s="262" t="s">
        <v>61</v>
      </c>
      <c r="G5" s="262" t="s">
        <v>61</v>
      </c>
      <c r="H5" s="262" t="s">
        <v>61</v>
      </c>
      <c r="I5" s="264" t="s">
        <v>61</v>
      </c>
    </row>
    <row r="6" spans="2:9" ht="18" customHeight="1" x14ac:dyDescent="0.2">
      <c r="B6" s="255" t="s">
        <v>44</v>
      </c>
      <c r="C6" s="229" t="s">
        <v>37</v>
      </c>
      <c r="D6" s="266" t="s">
        <v>117</v>
      </c>
      <c r="E6" s="229"/>
      <c r="F6" s="256"/>
      <c r="G6" s="256">
        <v>18000</v>
      </c>
      <c r="H6" s="256"/>
      <c r="I6" s="257"/>
    </row>
    <row r="7" spans="2:9" ht="18" customHeight="1" x14ac:dyDescent="0.2">
      <c r="B7" s="255"/>
      <c r="C7" s="229" t="s">
        <v>38</v>
      </c>
      <c r="D7" s="266"/>
      <c r="E7" s="229"/>
      <c r="F7" s="256"/>
      <c r="G7" s="256">
        <v>24000</v>
      </c>
      <c r="H7" s="256"/>
      <c r="I7" s="257"/>
    </row>
    <row r="8" spans="2:9" ht="18" customHeight="1" x14ac:dyDescent="0.2">
      <c r="B8" s="255"/>
      <c r="C8" s="229" t="s">
        <v>39</v>
      </c>
      <c r="D8" s="266"/>
      <c r="E8" s="229"/>
      <c r="F8" s="256"/>
      <c r="G8" s="256">
        <v>8000</v>
      </c>
      <c r="H8" s="256"/>
      <c r="I8" s="257"/>
    </row>
    <row r="9" spans="2:9" ht="18" customHeight="1" x14ac:dyDescent="0.2">
      <c r="B9" s="255"/>
      <c r="C9" s="229"/>
      <c r="D9" s="267"/>
      <c r="E9" s="229"/>
      <c r="F9" s="256"/>
      <c r="G9" s="256"/>
      <c r="H9" s="256"/>
      <c r="I9" s="257"/>
    </row>
    <row r="10" spans="2:9" ht="18" customHeight="1" x14ac:dyDescent="0.2">
      <c r="B10" s="255" t="s">
        <v>73</v>
      </c>
      <c r="C10" s="229" t="s">
        <v>37</v>
      </c>
      <c r="D10" s="266"/>
      <c r="E10" s="229"/>
      <c r="F10" s="256"/>
      <c r="G10" s="256">
        <v>19000</v>
      </c>
      <c r="H10" s="256"/>
      <c r="I10" s="257"/>
    </row>
    <row r="11" spans="2:9" ht="18" customHeight="1" x14ac:dyDescent="0.2">
      <c r="B11" s="255"/>
      <c r="C11" s="229" t="s">
        <v>38</v>
      </c>
      <c r="D11" s="266"/>
      <c r="E11" s="229"/>
      <c r="F11" s="256"/>
      <c r="G11" s="256">
        <v>24000</v>
      </c>
      <c r="H11" s="256"/>
      <c r="I11" s="257"/>
    </row>
    <row r="12" spans="2:9" ht="18" customHeight="1" x14ac:dyDescent="0.2">
      <c r="B12" s="255"/>
      <c r="C12" s="229" t="s">
        <v>39</v>
      </c>
      <c r="D12" s="266"/>
      <c r="E12" s="229"/>
      <c r="F12" s="256"/>
      <c r="G12" s="256">
        <v>8000</v>
      </c>
      <c r="H12" s="256"/>
      <c r="I12" s="257"/>
    </row>
    <row r="13" spans="2:9" x14ac:dyDescent="0.2">
      <c r="B13" s="255"/>
      <c r="C13" s="229"/>
      <c r="D13" s="266"/>
      <c r="E13" s="229"/>
      <c r="F13" s="256"/>
      <c r="G13" s="256"/>
      <c r="H13" s="256"/>
      <c r="I13" s="257"/>
    </row>
    <row r="14" spans="2:9" ht="18" customHeight="1" x14ac:dyDescent="0.2">
      <c r="B14" s="255" t="s">
        <v>72</v>
      </c>
      <c r="C14" s="229" t="s">
        <v>37</v>
      </c>
      <c r="D14" s="266"/>
      <c r="E14" s="229"/>
      <c r="F14" s="256"/>
      <c r="G14" s="256">
        <v>8000</v>
      </c>
      <c r="H14" s="256"/>
      <c r="I14" s="257"/>
    </row>
    <row r="15" spans="2:9" ht="18" customHeight="1" x14ac:dyDescent="0.2">
      <c r="B15" s="255"/>
      <c r="C15" s="229" t="s">
        <v>38</v>
      </c>
      <c r="D15" s="266"/>
      <c r="E15" s="229"/>
      <c r="F15" s="256"/>
      <c r="G15" s="256">
        <v>22000</v>
      </c>
      <c r="H15" s="256"/>
      <c r="I15" s="257"/>
    </row>
    <row r="16" spans="2:9" ht="18" customHeight="1" x14ac:dyDescent="0.2">
      <c r="B16" s="255"/>
      <c r="C16" s="229" t="s">
        <v>39</v>
      </c>
      <c r="D16" s="266"/>
      <c r="E16" s="229"/>
      <c r="F16" s="256"/>
      <c r="G16" s="256">
        <v>24000</v>
      </c>
      <c r="H16" s="256"/>
      <c r="I16" s="257"/>
    </row>
    <row r="17" spans="2:9" x14ac:dyDescent="0.2">
      <c r="B17" s="255"/>
      <c r="C17" s="229"/>
      <c r="D17" s="266"/>
      <c r="E17" s="229"/>
      <c r="F17" s="256"/>
      <c r="G17" s="256"/>
      <c r="H17" s="256"/>
      <c r="I17" s="257"/>
    </row>
    <row r="18" spans="2:9" ht="18" customHeight="1" x14ac:dyDescent="0.2">
      <c r="B18" s="255" t="s">
        <v>92</v>
      </c>
      <c r="C18" s="229" t="s">
        <v>37</v>
      </c>
      <c r="D18" s="266"/>
      <c r="E18" s="229"/>
      <c r="F18" s="256"/>
      <c r="G18" s="256">
        <v>26000</v>
      </c>
      <c r="H18" s="256"/>
      <c r="I18" s="257"/>
    </row>
    <row r="19" spans="2:9" ht="18" customHeight="1" x14ac:dyDescent="0.2">
      <c r="B19" s="255"/>
      <c r="C19" s="229" t="s">
        <v>38</v>
      </c>
      <c r="D19" s="266"/>
      <c r="E19" s="229"/>
      <c r="F19" s="256"/>
      <c r="G19" s="256">
        <v>14000</v>
      </c>
      <c r="H19" s="256"/>
      <c r="I19" s="257"/>
    </row>
    <row r="20" spans="2:9" ht="18" customHeight="1" x14ac:dyDescent="0.2">
      <c r="B20" s="255"/>
      <c r="C20" s="229" t="s">
        <v>39</v>
      </c>
      <c r="D20" s="266"/>
      <c r="E20" s="258"/>
      <c r="F20" s="256"/>
      <c r="G20" s="256">
        <v>20000</v>
      </c>
      <c r="H20" s="256"/>
      <c r="I20" s="257"/>
    </row>
    <row r="21" spans="2:9" x14ac:dyDescent="0.2">
      <c r="B21" s="255"/>
      <c r="C21" s="229"/>
      <c r="D21" s="266"/>
      <c r="E21" s="229"/>
      <c r="F21" s="256"/>
      <c r="G21" s="256"/>
      <c r="H21" s="256"/>
      <c r="I21" s="257"/>
    </row>
    <row r="22" spans="2:9" ht="18" customHeight="1" x14ac:dyDescent="0.2">
      <c r="B22" s="255" t="s">
        <v>93</v>
      </c>
      <c r="C22" s="229" t="s">
        <v>37</v>
      </c>
      <c r="D22" s="266"/>
      <c r="E22" s="229"/>
      <c r="F22" s="256"/>
      <c r="G22" s="256">
        <v>26000</v>
      </c>
      <c r="H22" s="256"/>
      <c r="I22" s="257"/>
    </row>
    <row r="23" spans="2:9" ht="18" customHeight="1" x14ac:dyDescent="0.2">
      <c r="B23" s="255"/>
      <c r="C23" s="229" t="s">
        <v>38</v>
      </c>
      <c r="D23" s="266"/>
      <c r="E23" s="229"/>
      <c r="F23" s="256"/>
      <c r="G23" s="256">
        <v>14000</v>
      </c>
      <c r="H23" s="256"/>
      <c r="I23" s="257"/>
    </row>
    <row r="24" spans="2:9" ht="18" customHeight="1" x14ac:dyDescent="0.2">
      <c r="B24" s="255"/>
      <c r="C24" s="229" t="s">
        <v>39</v>
      </c>
      <c r="D24" s="266"/>
      <c r="E24" s="229"/>
      <c r="F24" s="256"/>
      <c r="G24" s="256"/>
      <c r="H24" s="256"/>
      <c r="I24" s="257"/>
    </row>
    <row r="25" spans="2:9" x14ac:dyDescent="0.2">
      <c r="B25" s="255"/>
      <c r="C25" s="229"/>
      <c r="D25" s="266"/>
      <c r="E25" s="229"/>
      <c r="F25" s="256"/>
      <c r="G25" s="256"/>
      <c r="H25" s="256"/>
      <c r="I25" s="257"/>
    </row>
    <row r="26" spans="2:9" ht="18" customHeight="1" x14ac:dyDescent="0.2">
      <c r="B26" s="255" t="s">
        <v>94</v>
      </c>
      <c r="C26" s="229" t="s">
        <v>37</v>
      </c>
      <c r="D26" s="266"/>
      <c r="E26" s="229"/>
      <c r="F26" s="256"/>
      <c r="G26" s="256">
        <v>26000</v>
      </c>
      <c r="H26" s="256"/>
      <c r="I26" s="257"/>
    </row>
    <row r="27" spans="2:9" ht="18" customHeight="1" x14ac:dyDescent="0.2">
      <c r="B27" s="255"/>
      <c r="C27" s="229" t="s">
        <v>38</v>
      </c>
      <c r="D27" s="266"/>
      <c r="E27" s="229"/>
      <c r="F27" s="256"/>
      <c r="G27" s="256">
        <v>14000</v>
      </c>
      <c r="H27" s="256"/>
      <c r="I27" s="257"/>
    </row>
    <row r="28" spans="2:9" ht="18" customHeight="1" x14ac:dyDescent="0.2">
      <c r="B28" s="255"/>
      <c r="C28" s="229" t="s">
        <v>39</v>
      </c>
      <c r="D28" s="266"/>
      <c r="E28" s="229"/>
      <c r="F28" s="256"/>
      <c r="G28" s="256">
        <v>14000</v>
      </c>
      <c r="H28" s="256"/>
      <c r="I28" s="257"/>
    </row>
    <row r="29" spans="2:9" ht="18.75" thickBot="1" x14ac:dyDescent="0.25">
      <c r="B29" s="255"/>
      <c r="C29" s="229"/>
      <c r="D29" s="266"/>
      <c r="E29" s="229"/>
      <c r="F29" s="256"/>
      <c r="G29" s="256"/>
      <c r="H29" s="256"/>
      <c r="I29" s="257"/>
    </row>
    <row r="30" spans="2:9" ht="18.75" thickBot="1" x14ac:dyDescent="0.25">
      <c r="B30" s="398" t="s">
        <v>26</v>
      </c>
      <c r="C30" s="399"/>
      <c r="D30" s="400"/>
      <c r="E30" s="259"/>
      <c r="F30" s="260"/>
      <c r="G30" s="260"/>
      <c r="H30" s="260"/>
      <c r="I30" s="373">
        <f>SUM(I7:I29)</f>
        <v>0</v>
      </c>
    </row>
  </sheetData>
  <mergeCells count="4">
    <mergeCell ref="C3:D3"/>
    <mergeCell ref="C4:D4"/>
    <mergeCell ref="B2:I2"/>
    <mergeCell ref="B30:D30"/>
  </mergeCells>
  <pageMargins left="0.7" right="0.7" top="0.75" bottom="0.75" header="0.3" footer="0.3"/>
  <pageSetup paperSize="9" scale="9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90CD-A582-4BDA-99D5-50D8841D7C2F}">
  <dimension ref="A1:AI39"/>
  <sheetViews>
    <sheetView workbookViewId="0">
      <selection activeCell="D11" sqref="D11"/>
    </sheetView>
  </sheetViews>
  <sheetFormatPr defaultRowHeight="12.75" x14ac:dyDescent="0.15"/>
  <cols>
    <col min="2" max="2" width="13.34765625" customWidth="1"/>
    <col min="3" max="3" width="12.13671875" customWidth="1"/>
    <col min="4" max="4" width="12" customWidth="1"/>
    <col min="6" max="6" width="6.47265625" customWidth="1"/>
    <col min="7" max="7" width="14.5625" bestFit="1" customWidth="1"/>
    <col min="8" max="8" width="11.0546875" customWidth="1"/>
    <col min="9" max="9" width="12.80859375" customWidth="1"/>
    <col min="11" max="11" width="12" customWidth="1"/>
    <col min="12" max="12" width="11.4609375" customWidth="1"/>
    <col min="13" max="13" width="13.6171875" customWidth="1"/>
    <col min="15" max="15" width="11.8671875" customWidth="1"/>
    <col min="16" max="16" width="10.65234375" customWidth="1"/>
    <col min="17" max="17" width="13.484375" customWidth="1"/>
    <col min="18" max="18" width="4.58203125" customWidth="1"/>
    <col min="19" max="19" width="16.44921875" customWidth="1"/>
    <col min="22" max="22" width="16.85546875" customWidth="1"/>
    <col min="23" max="23" width="22.65234375" customWidth="1"/>
    <col min="24" max="24" width="20.765625" customWidth="1"/>
    <col min="25" max="25" width="19.28125" customWidth="1"/>
  </cols>
  <sheetData>
    <row r="1" spans="1:35" ht="59.25" thickBot="1" x14ac:dyDescent="0.7">
      <c r="A1" s="422" t="s">
        <v>77</v>
      </c>
      <c r="B1" s="423"/>
      <c r="C1" s="293" t="s">
        <v>102</v>
      </c>
      <c r="D1" s="294"/>
      <c r="E1" s="295"/>
      <c r="F1" s="424" t="s">
        <v>103</v>
      </c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</row>
    <row r="2" spans="1:35" ht="44.25" thickBot="1" x14ac:dyDescent="0.55000000000000004">
      <c r="A2" s="427" t="s">
        <v>78</v>
      </c>
      <c r="B2" s="428"/>
      <c r="C2" s="429">
        <v>119</v>
      </c>
      <c r="D2" s="430"/>
      <c r="E2" s="430"/>
      <c r="F2" s="431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300"/>
      <c r="AE2" s="300"/>
      <c r="AF2" s="301"/>
    </row>
    <row r="3" spans="1:35" ht="44.25" thickBot="1" x14ac:dyDescent="0.55000000000000004">
      <c r="A3" s="302"/>
      <c r="B3" s="419" t="s">
        <v>78</v>
      </c>
      <c r="C3" s="419"/>
      <c r="D3" s="420">
        <v>114</v>
      </c>
      <c r="E3" s="420"/>
      <c r="F3" s="421"/>
      <c r="G3" s="421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4"/>
      <c r="V3" s="453" t="s">
        <v>104</v>
      </c>
      <c r="W3" s="454"/>
      <c r="X3" s="454"/>
      <c r="Y3" s="455"/>
    </row>
    <row r="4" spans="1:35" ht="26.25" thickBot="1" x14ac:dyDescent="0.35">
      <c r="A4" s="302"/>
      <c r="B4" s="305"/>
      <c r="C4" s="305"/>
      <c r="D4" s="305"/>
      <c r="E4" s="306"/>
      <c r="F4" s="306"/>
      <c r="G4" s="305"/>
      <c r="H4" s="305"/>
      <c r="I4" s="305"/>
      <c r="J4" s="306"/>
      <c r="K4" s="305"/>
      <c r="L4" s="305"/>
      <c r="M4" s="305"/>
      <c r="N4" s="306"/>
      <c r="O4" s="305"/>
      <c r="P4" s="305"/>
      <c r="Q4" s="305"/>
      <c r="R4" s="306"/>
      <c r="S4" s="306"/>
      <c r="T4" s="307"/>
      <c r="V4" s="308" t="s">
        <v>105</v>
      </c>
      <c r="W4" s="309" t="s">
        <v>106</v>
      </c>
      <c r="X4" s="309" t="s">
        <v>107</v>
      </c>
      <c r="Y4" s="309" t="s">
        <v>108</v>
      </c>
    </row>
    <row r="5" spans="1:35" ht="21" thickBot="1" x14ac:dyDescent="0.3">
      <c r="A5" s="310"/>
      <c r="B5" s="433" t="s">
        <v>79</v>
      </c>
      <c r="C5" s="434"/>
      <c r="D5" s="435"/>
      <c r="E5" s="311"/>
      <c r="F5" s="312"/>
      <c r="G5" s="436" t="s">
        <v>80</v>
      </c>
      <c r="H5" s="437"/>
      <c r="I5" s="438"/>
      <c r="J5" s="313"/>
      <c r="K5" s="439" t="s">
        <v>81</v>
      </c>
      <c r="L5" s="440"/>
      <c r="M5" s="441"/>
      <c r="N5" s="313"/>
      <c r="O5" s="442" t="s">
        <v>82</v>
      </c>
      <c r="P5" s="443"/>
      <c r="Q5" s="444"/>
      <c r="R5" s="311"/>
      <c r="S5" s="305"/>
      <c r="T5" s="307"/>
      <c r="V5" s="338">
        <v>1</v>
      </c>
      <c r="W5" s="315">
        <v>39600</v>
      </c>
      <c r="X5" s="315">
        <v>39352</v>
      </c>
      <c r="Y5" s="316">
        <v>284</v>
      </c>
    </row>
    <row r="6" spans="1:35" ht="20.25" x14ac:dyDescent="0.25">
      <c r="A6" s="310"/>
      <c r="B6" s="317" t="s">
        <v>47</v>
      </c>
      <c r="C6" s="318" t="s">
        <v>83</v>
      </c>
      <c r="D6" s="319" t="s">
        <v>48</v>
      </c>
      <c r="E6" s="320"/>
      <c r="F6" s="321"/>
      <c r="G6" s="317" t="s">
        <v>47</v>
      </c>
      <c r="H6" s="318" t="s">
        <v>83</v>
      </c>
      <c r="I6" s="319" t="s">
        <v>48</v>
      </c>
      <c r="J6" s="322"/>
      <c r="K6" s="317" t="s">
        <v>47</v>
      </c>
      <c r="L6" s="318" t="s">
        <v>83</v>
      </c>
      <c r="M6" s="319" t="s">
        <v>48</v>
      </c>
      <c r="N6" s="322"/>
      <c r="O6" s="317" t="s">
        <v>47</v>
      </c>
      <c r="P6" s="318" t="s">
        <v>83</v>
      </c>
      <c r="Q6" s="319" t="s">
        <v>48</v>
      </c>
      <c r="R6" s="322"/>
      <c r="S6" s="371" t="s">
        <v>84</v>
      </c>
      <c r="T6" s="323"/>
      <c r="V6" s="338">
        <v>2</v>
      </c>
      <c r="W6" s="315">
        <v>39400</v>
      </c>
      <c r="X6" s="315">
        <v>38360</v>
      </c>
      <c r="Y6" s="316">
        <v>1040</v>
      </c>
    </row>
    <row r="7" spans="1:35" ht="21" x14ac:dyDescent="0.25">
      <c r="A7" s="310"/>
      <c r="B7" s="281">
        <v>46097</v>
      </c>
      <c r="C7" s="278">
        <v>53740</v>
      </c>
      <c r="D7" s="292">
        <v>41980</v>
      </c>
      <c r="E7" s="327"/>
      <c r="F7" s="328"/>
      <c r="G7" s="374">
        <v>46107</v>
      </c>
      <c r="H7" s="375">
        <v>54320</v>
      </c>
      <c r="I7" s="379">
        <v>43600</v>
      </c>
      <c r="J7" s="329"/>
      <c r="K7" s="380"/>
      <c r="L7" s="378"/>
      <c r="M7" s="381"/>
      <c r="N7" s="329"/>
      <c r="O7" s="270"/>
      <c r="P7" s="232"/>
      <c r="Q7" s="244"/>
      <c r="R7" s="322"/>
      <c r="S7" s="333" t="s">
        <v>85</v>
      </c>
      <c r="T7" s="323"/>
      <c r="V7" s="338">
        <v>3</v>
      </c>
      <c r="W7" s="315">
        <v>40000</v>
      </c>
      <c r="X7" s="315">
        <v>41088</v>
      </c>
      <c r="Y7" s="316">
        <v>-1088</v>
      </c>
    </row>
    <row r="8" spans="1:35" ht="21.75" thickBot="1" x14ac:dyDescent="0.3">
      <c r="A8" s="310"/>
      <c r="B8" s="281">
        <v>46096</v>
      </c>
      <c r="C8" s="278">
        <v>53739</v>
      </c>
      <c r="D8" s="292">
        <v>44000</v>
      </c>
      <c r="E8" s="327"/>
      <c r="F8" s="328"/>
      <c r="G8" s="374">
        <v>46107</v>
      </c>
      <c r="H8" s="375">
        <v>54319</v>
      </c>
      <c r="I8" s="379">
        <v>43640</v>
      </c>
      <c r="J8" s="329"/>
      <c r="K8" s="380"/>
      <c r="L8" s="378"/>
      <c r="M8" s="381"/>
      <c r="N8" s="329"/>
      <c r="O8" s="270"/>
      <c r="P8" s="232"/>
      <c r="Q8" s="244"/>
      <c r="R8" s="322"/>
      <c r="S8" s="334">
        <v>168000</v>
      </c>
      <c r="T8" s="323"/>
      <c r="V8" s="338">
        <v>4</v>
      </c>
      <c r="W8" s="315">
        <v>40000</v>
      </c>
      <c r="X8" s="315">
        <v>38784</v>
      </c>
      <c r="Y8" s="316">
        <v>1216</v>
      </c>
    </row>
    <row r="9" spans="1:35" ht="21.75" thickBot="1" x14ac:dyDescent="0.3">
      <c r="A9" s="310"/>
      <c r="B9" s="281">
        <v>46096</v>
      </c>
      <c r="C9" s="278">
        <v>53737</v>
      </c>
      <c r="D9" s="292">
        <v>43920</v>
      </c>
      <c r="E9" s="327"/>
      <c r="F9" s="328"/>
      <c r="G9" s="374"/>
      <c r="H9" s="375"/>
      <c r="I9" s="379"/>
      <c r="J9" s="329"/>
      <c r="K9" s="380"/>
      <c r="L9" s="378"/>
      <c r="M9" s="376"/>
      <c r="N9" s="329"/>
      <c r="O9" s="272"/>
      <c r="P9" s="232"/>
      <c r="Q9" s="244"/>
      <c r="R9" s="320"/>
      <c r="S9" s="335"/>
      <c r="T9" s="307"/>
      <c r="V9" s="314">
        <v>5</v>
      </c>
      <c r="W9" s="315">
        <v>40400</v>
      </c>
      <c r="X9" s="315">
        <v>39680</v>
      </c>
      <c r="Y9" s="316">
        <v>720</v>
      </c>
    </row>
    <row r="10" spans="1:35" ht="21" x14ac:dyDescent="0.25">
      <c r="A10" s="310"/>
      <c r="B10" s="281">
        <v>46096</v>
      </c>
      <c r="C10" s="278">
        <v>53738</v>
      </c>
      <c r="D10" s="292">
        <v>43860</v>
      </c>
      <c r="E10" s="327"/>
      <c r="F10" s="328"/>
      <c r="G10" s="374"/>
      <c r="H10" s="375"/>
      <c r="I10" s="379"/>
      <c r="J10" s="329"/>
      <c r="K10" s="271"/>
      <c r="L10" s="230"/>
      <c r="M10" s="243"/>
      <c r="N10" s="329"/>
      <c r="O10" s="270"/>
      <c r="P10" s="232"/>
      <c r="Q10" s="244"/>
      <c r="R10" s="322"/>
      <c r="S10" s="370" t="s">
        <v>86</v>
      </c>
      <c r="T10" s="323"/>
      <c r="V10" s="314">
        <v>6</v>
      </c>
      <c r="W10" s="315">
        <v>40300</v>
      </c>
      <c r="X10" s="315">
        <v>38230</v>
      </c>
      <c r="Y10" s="316">
        <v>1980</v>
      </c>
    </row>
    <row r="11" spans="1:35" ht="21" x14ac:dyDescent="0.25">
      <c r="A11" s="310"/>
      <c r="B11" s="242"/>
      <c r="C11" s="230"/>
      <c r="D11" s="273"/>
      <c r="E11" s="327"/>
      <c r="F11" s="328"/>
      <c r="G11" s="374"/>
      <c r="H11" s="375"/>
      <c r="I11" s="379"/>
      <c r="J11" s="329"/>
      <c r="K11" s="271"/>
      <c r="L11" s="230"/>
      <c r="M11" s="243"/>
      <c r="N11" s="329"/>
      <c r="O11" s="242"/>
      <c r="P11" s="230"/>
      <c r="Q11" s="243"/>
      <c r="R11" s="322"/>
      <c r="S11" s="333" t="s">
        <v>87</v>
      </c>
      <c r="T11" s="323"/>
      <c r="V11" s="314">
        <v>7</v>
      </c>
      <c r="W11" s="315">
        <v>48400</v>
      </c>
      <c r="X11" s="315">
        <v>48400</v>
      </c>
      <c r="Y11" s="316">
        <v>1904</v>
      </c>
    </row>
    <row r="12" spans="1:35" ht="21.75" thickBot="1" x14ac:dyDescent="0.3">
      <c r="A12" s="310"/>
      <c r="B12" s="324"/>
      <c r="C12" s="325"/>
      <c r="D12" s="326"/>
      <c r="E12" s="327"/>
      <c r="F12" s="328"/>
      <c r="G12" s="374"/>
      <c r="H12" s="375"/>
      <c r="I12" s="379"/>
      <c r="J12" s="329"/>
      <c r="K12" s="271"/>
      <c r="L12" s="230"/>
      <c r="M12" s="243"/>
      <c r="N12" s="329"/>
      <c r="O12" s="271"/>
      <c r="P12" s="234"/>
      <c r="Q12" s="243"/>
      <c r="R12" s="322"/>
      <c r="S12" s="337">
        <f>+D37+I37+M37+Q37</f>
        <v>261000</v>
      </c>
      <c r="T12" s="323"/>
      <c r="V12" s="314">
        <v>8</v>
      </c>
      <c r="W12" s="315">
        <v>47786</v>
      </c>
      <c r="X12" s="315">
        <v>47648</v>
      </c>
      <c r="Y12" s="316">
        <v>138</v>
      </c>
    </row>
    <row r="13" spans="1:35" ht="21.75" thickBot="1" x14ac:dyDescent="0.3">
      <c r="A13" s="310"/>
      <c r="B13" s="330"/>
      <c r="C13" s="325"/>
      <c r="D13" s="326"/>
      <c r="E13" s="327"/>
      <c r="F13" s="328"/>
      <c r="G13" s="374"/>
      <c r="H13" s="375"/>
      <c r="I13" s="379"/>
      <c r="J13" s="329"/>
      <c r="K13" s="271"/>
      <c r="L13" s="230"/>
      <c r="M13" s="243"/>
      <c r="N13" s="329"/>
      <c r="O13" s="242"/>
      <c r="P13" s="230"/>
      <c r="Q13" s="243"/>
      <c r="R13" s="320"/>
      <c r="S13" s="335"/>
      <c r="T13" s="307"/>
      <c r="V13" s="338">
        <v>9</v>
      </c>
      <c r="W13" s="315">
        <v>48100</v>
      </c>
      <c r="X13" s="315">
        <v>46120</v>
      </c>
      <c r="Y13" s="316">
        <v>1980</v>
      </c>
    </row>
    <row r="14" spans="1:35" ht="20.25" x14ac:dyDescent="0.25">
      <c r="A14" s="310"/>
      <c r="B14" s="330"/>
      <c r="C14" s="325"/>
      <c r="D14" s="326"/>
      <c r="E14" s="327"/>
      <c r="F14" s="328"/>
      <c r="G14" s="380"/>
      <c r="H14" s="378"/>
      <c r="I14" s="376"/>
      <c r="J14" s="329"/>
      <c r="K14" s="271"/>
      <c r="L14" s="230"/>
      <c r="M14" s="243"/>
      <c r="N14" s="329"/>
      <c r="O14" s="242"/>
      <c r="P14" s="234"/>
      <c r="Q14" s="243"/>
      <c r="R14" s="322"/>
      <c r="S14" s="371" t="s">
        <v>88</v>
      </c>
      <c r="T14" s="323"/>
      <c r="V14" s="338">
        <v>10</v>
      </c>
      <c r="W14" s="315">
        <v>48100</v>
      </c>
      <c r="X14" s="315">
        <v>47152</v>
      </c>
      <c r="Y14" s="316">
        <v>948</v>
      </c>
    </row>
    <row r="15" spans="1:35" ht="20.25" x14ac:dyDescent="0.25">
      <c r="A15" s="310"/>
      <c r="B15" s="324"/>
      <c r="C15" s="325"/>
      <c r="D15" s="326"/>
      <c r="E15" s="327"/>
      <c r="F15" s="339"/>
      <c r="G15" s="380"/>
      <c r="H15" s="378"/>
      <c r="I15" s="376"/>
      <c r="J15" s="329"/>
      <c r="K15" s="271"/>
      <c r="L15" s="230"/>
      <c r="M15" s="243"/>
      <c r="N15" s="329"/>
      <c r="O15" s="242"/>
      <c r="P15" s="230"/>
      <c r="Q15" s="243"/>
      <c r="R15" s="322"/>
      <c r="S15" s="333" t="s">
        <v>89</v>
      </c>
      <c r="T15" s="323"/>
      <c r="V15" s="338">
        <v>11</v>
      </c>
      <c r="W15" s="315">
        <v>48100</v>
      </c>
      <c r="X15" s="315">
        <v>43456</v>
      </c>
      <c r="Y15" s="316">
        <v>4644</v>
      </c>
    </row>
    <row r="16" spans="1:35" ht="21" thickBot="1" x14ac:dyDescent="0.3">
      <c r="A16" s="310"/>
      <c r="B16" s="324"/>
      <c r="C16" s="325"/>
      <c r="D16" s="326"/>
      <c r="E16" s="327"/>
      <c r="F16" s="328"/>
      <c r="G16" s="380"/>
      <c r="H16" s="378"/>
      <c r="I16" s="376"/>
      <c r="J16" s="329"/>
      <c r="K16" s="271"/>
      <c r="L16" s="230"/>
      <c r="M16" s="243"/>
      <c r="N16" s="329"/>
      <c r="O16" s="271"/>
      <c r="P16" s="230"/>
      <c r="Q16" s="243"/>
      <c r="R16" s="322"/>
      <c r="S16" s="334"/>
      <c r="T16" s="323"/>
      <c r="V16" s="340">
        <v>12</v>
      </c>
      <c r="W16" s="341">
        <v>49400</v>
      </c>
      <c r="X16" s="341">
        <v>49064</v>
      </c>
      <c r="Y16" s="342">
        <v>336</v>
      </c>
    </row>
    <row r="17" spans="1:25" ht="23.25" thickBot="1" x14ac:dyDescent="0.3">
      <c r="A17" s="310"/>
      <c r="B17" s="324"/>
      <c r="C17" s="325"/>
      <c r="D17" s="326"/>
      <c r="E17" s="327"/>
      <c r="F17" s="328"/>
      <c r="G17" s="377"/>
      <c r="H17" s="378"/>
      <c r="I17" s="376"/>
      <c r="J17" s="329"/>
      <c r="K17" s="271"/>
      <c r="L17" s="230"/>
      <c r="M17" s="243"/>
      <c r="N17" s="329"/>
      <c r="O17" s="271"/>
      <c r="P17" s="234"/>
      <c r="Q17" s="243"/>
      <c r="R17" s="320"/>
      <c r="S17" s="343"/>
      <c r="T17" s="307"/>
      <c r="V17" s="344" t="s">
        <v>109</v>
      </c>
      <c r="W17" s="345" t="s">
        <v>113</v>
      </c>
      <c r="X17" s="345">
        <f>SUM(X5:X16)</f>
        <v>517334</v>
      </c>
      <c r="Y17" s="346">
        <f>SUM(Y5:Y16)</f>
        <v>14102</v>
      </c>
    </row>
    <row r="18" spans="1:25" ht="20.25" thickBot="1" x14ac:dyDescent="0.25">
      <c r="A18" s="310"/>
      <c r="B18" s="324"/>
      <c r="C18" s="325"/>
      <c r="D18" s="326"/>
      <c r="E18" s="327"/>
      <c r="F18" s="328"/>
      <c r="G18" s="377"/>
      <c r="H18" s="378"/>
      <c r="I18" s="376"/>
      <c r="J18" s="329"/>
      <c r="K18" s="270"/>
      <c r="L18" s="232"/>
      <c r="M18" s="244"/>
      <c r="N18" s="329"/>
      <c r="O18" s="271"/>
      <c r="P18" s="234"/>
      <c r="Q18" s="243"/>
      <c r="R18" s="322"/>
      <c r="S18" s="372" t="s">
        <v>90</v>
      </c>
      <c r="T18" s="323"/>
      <c r="V18" s="395" t="s">
        <v>110</v>
      </c>
      <c r="W18" s="397"/>
      <c r="X18" s="347"/>
      <c r="Y18" s="348"/>
    </row>
    <row r="19" spans="1:25" ht="20.25" thickBot="1" x14ac:dyDescent="0.25">
      <c r="A19" s="310"/>
      <c r="B19" s="324"/>
      <c r="C19" s="325"/>
      <c r="D19" s="326"/>
      <c r="E19" s="327"/>
      <c r="F19" s="328"/>
      <c r="G19" s="380"/>
      <c r="H19" s="378"/>
      <c r="I19" s="381"/>
      <c r="J19" s="329"/>
      <c r="K19" s="270"/>
      <c r="L19" s="232"/>
      <c r="M19" s="244"/>
      <c r="N19" s="329"/>
      <c r="O19" s="271"/>
      <c r="P19" s="230"/>
      <c r="Q19" s="243"/>
      <c r="R19" s="322"/>
      <c r="S19" s="349">
        <f>+S8+S12-S16</f>
        <v>429000</v>
      </c>
      <c r="T19" s="323"/>
      <c r="V19" s="445" t="s">
        <v>115</v>
      </c>
      <c r="W19" s="446"/>
      <c r="X19" s="350">
        <v>168000</v>
      </c>
      <c r="Y19" s="351"/>
    </row>
    <row r="20" spans="1:25" ht="20.25" thickBot="1" x14ac:dyDescent="0.25">
      <c r="A20" s="310"/>
      <c r="B20" s="324"/>
      <c r="C20" s="325"/>
      <c r="D20" s="326"/>
      <c r="E20" s="327"/>
      <c r="F20" s="328"/>
      <c r="G20" s="380"/>
      <c r="H20" s="378"/>
      <c r="I20" s="381"/>
      <c r="J20" s="352"/>
      <c r="K20" s="270"/>
      <c r="L20" s="232"/>
      <c r="M20" s="244"/>
      <c r="N20" s="329"/>
      <c r="O20" s="236"/>
      <c r="P20" s="230"/>
      <c r="Q20" s="238"/>
      <c r="R20" s="320"/>
      <c r="S20" s="353"/>
      <c r="T20" s="307"/>
      <c r="V20" s="447" t="s">
        <v>111</v>
      </c>
      <c r="W20" s="448"/>
      <c r="X20" s="354">
        <v>2142600</v>
      </c>
      <c r="Y20" s="351"/>
    </row>
    <row r="21" spans="1:25" ht="20.25" thickBot="1" x14ac:dyDescent="0.25">
      <c r="A21" s="310"/>
      <c r="B21" s="324"/>
      <c r="C21" s="325"/>
      <c r="D21" s="326"/>
      <c r="E21" s="327"/>
      <c r="F21" s="328"/>
      <c r="G21" s="380"/>
      <c r="H21" s="378"/>
      <c r="I21" s="376"/>
      <c r="J21" s="329"/>
      <c r="K21" s="272"/>
      <c r="L21" s="232"/>
      <c r="M21" s="244"/>
      <c r="N21" s="329"/>
      <c r="O21" s="236"/>
      <c r="P21" s="235"/>
      <c r="Q21" s="238"/>
      <c r="R21" s="320"/>
      <c r="S21" s="306"/>
      <c r="T21" s="307"/>
      <c r="V21" s="449" t="s">
        <v>112</v>
      </c>
      <c r="W21" s="450"/>
      <c r="X21" s="355">
        <v>168000</v>
      </c>
      <c r="Y21" s="351"/>
    </row>
    <row r="22" spans="1:25" ht="20.25" thickBot="1" x14ac:dyDescent="0.25">
      <c r="A22" s="310"/>
      <c r="B22" s="324"/>
      <c r="C22" s="336"/>
      <c r="D22" s="356"/>
      <c r="E22" s="327"/>
      <c r="F22" s="328"/>
      <c r="G22" s="380"/>
      <c r="H22" s="378"/>
      <c r="I22" s="376"/>
      <c r="J22" s="352"/>
      <c r="K22" s="239"/>
      <c r="L22" s="232"/>
      <c r="M22" s="240"/>
      <c r="N22" s="329"/>
      <c r="O22" s="237"/>
      <c r="P22" s="231"/>
      <c r="Q22" s="238"/>
      <c r="R22" s="320"/>
      <c r="S22" s="306"/>
      <c r="T22" s="307"/>
      <c r="V22" s="451" t="s">
        <v>116</v>
      </c>
      <c r="W22" s="452"/>
      <c r="X22" s="357">
        <f>X19+X20-X21</f>
        <v>2142600</v>
      </c>
      <c r="Y22" s="358"/>
    </row>
    <row r="23" spans="1:25" ht="19.5" x14ac:dyDescent="0.2">
      <c r="A23" s="310"/>
      <c r="B23" s="324"/>
      <c r="C23" s="336"/>
      <c r="D23" s="356"/>
      <c r="E23" s="327"/>
      <c r="F23" s="328"/>
      <c r="G23" s="380"/>
      <c r="H23" s="378"/>
      <c r="I23" s="376"/>
      <c r="J23" s="329"/>
      <c r="K23" s="270"/>
      <c r="L23" s="232"/>
      <c r="M23" s="244"/>
      <c r="N23" s="352"/>
      <c r="O23" s="242"/>
      <c r="P23" s="230"/>
      <c r="Q23" s="243"/>
      <c r="R23" s="320"/>
      <c r="S23" s="306"/>
      <c r="T23" s="307"/>
    </row>
    <row r="24" spans="1:25" ht="19.5" x14ac:dyDescent="0.2">
      <c r="A24" s="310"/>
      <c r="B24" s="324"/>
      <c r="C24" s="336"/>
      <c r="D24" s="356"/>
      <c r="E24" s="327"/>
      <c r="F24" s="328"/>
      <c r="G24" s="380"/>
      <c r="H24" s="378"/>
      <c r="I24" s="376"/>
      <c r="J24" s="329"/>
      <c r="K24" s="239"/>
      <c r="L24" s="232"/>
      <c r="M24" s="240"/>
      <c r="N24" s="329"/>
      <c r="O24" s="242"/>
      <c r="P24" s="234"/>
      <c r="Q24" s="243"/>
      <c r="R24" s="320"/>
      <c r="S24" s="306"/>
      <c r="T24" s="307"/>
    </row>
    <row r="25" spans="1:25" ht="19.5" x14ac:dyDescent="0.2">
      <c r="A25" s="310"/>
      <c r="B25" s="324"/>
      <c r="C25" s="336"/>
      <c r="D25" s="356"/>
      <c r="E25" s="327"/>
      <c r="F25" s="328"/>
      <c r="G25" s="380"/>
      <c r="H25" s="378"/>
      <c r="I25" s="376"/>
      <c r="J25" s="329"/>
      <c r="K25" s="270"/>
      <c r="L25" s="232"/>
      <c r="M25" s="244"/>
      <c r="N25" s="329"/>
      <c r="O25" s="237"/>
      <c r="P25" s="235"/>
      <c r="Q25" s="243"/>
      <c r="R25" s="320"/>
      <c r="S25" s="306"/>
      <c r="T25" s="307"/>
    </row>
    <row r="26" spans="1:25" ht="19.5" x14ac:dyDescent="0.2">
      <c r="A26" s="310"/>
      <c r="B26" s="324"/>
      <c r="C26" s="336"/>
      <c r="D26" s="356"/>
      <c r="E26" s="327"/>
      <c r="F26" s="328"/>
      <c r="G26" s="380"/>
      <c r="H26" s="378"/>
      <c r="I26" s="376"/>
      <c r="J26" s="359"/>
      <c r="K26" s="271"/>
      <c r="L26" s="230"/>
      <c r="M26" s="243"/>
      <c r="N26" s="359"/>
      <c r="O26" s="239"/>
      <c r="P26" s="233"/>
      <c r="Q26" s="240"/>
      <c r="R26" s="320"/>
      <c r="S26" s="306"/>
      <c r="T26" s="307"/>
    </row>
    <row r="27" spans="1:25" ht="19.5" x14ac:dyDescent="0.2">
      <c r="A27" s="310"/>
      <c r="B27" s="331"/>
      <c r="C27" s="332"/>
      <c r="D27" s="360"/>
      <c r="E27" s="361"/>
      <c r="F27" s="362"/>
      <c r="G27" s="377"/>
      <c r="H27" s="378"/>
      <c r="I27" s="376"/>
      <c r="J27" s="363"/>
      <c r="K27" s="271"/>
      <c r="L27" s="230"/>
      <c r="M27" s="243"/>
      <c r="N27" s="363"/>
      <c r="O27" s="239"/>
      <c r="P27" s="233"/>
      <c r="Q27" s="240"/>
      <c r="R27" s="320"/>
      <c r="S27" s="306"/>
      <c r="T27" s="307"/>
    </row>
    <row r="28" spans="1:25" ht="19.5" x14ac:dyDescent="0.2">
      <c r="A28" s="310"/>
      <c r="B28" s="331"/>
      <c r="C28" s="332"/>
      <c r="D28" s="360"/>
      <c r="E28" s="361"/>
      <c r="F28" s="362"/>
      <c r="G28" s="382"/>
      <c r="H28" s="383"/>
      <c r="I28" s="384"/>
      <c r="J28" s="363"/>
      <c r="K28" s="271"/>
      <c r="L28" s="230"/>
      <c r="M28" s="243"/>
      <c r="N28" s="363"/>
      <c r="O28" s="239"/>
      <c r="P28" s="233"/>
      <c r="Q28" s="244"/>
      <c r="R28" s="320"/>
      <c r="S28" s="306"/>
      <c r="T28" s="307"/>
    </row>
    <row r="29" spans="1:25" ht="19.5" x14ac:dyDescent="0.2">
      <c r="A29" s="310"/>
      <c r="B29" s="331"/>
      <c r="C29" s="332"/>
      <c r="D29" s="360"/>
      <c r="E29" s="361"/>
      <c r="F29" s="362"/>
      <c r="G29" s="380"/>
      <c r="H29" s="383"/>
      <c r="I29" s="384"/>
      <c r="J29" s="363"/>
      <c r="K29" s="271"/>
      <c r="L29" s="230"/>
      <c r="M29" s="273"/>
      <c r="N29" s="363"/>
      <c r="O29" s="239"/>
      <c r="P29" s="233"/>
      <c r="Q29" s="240"/>
      <c r="R29" s="320"/>
      <c r="S29" s="306"/>
      <c r="T29" s="307"/>
    </row>
    <row r="30" spans="1:25" ht="19.5" x14ac:dyDescent="0.2">
      <c r="A30" s="310"/>
      <c r="B30" s="331"/>
      <c r="C30" s="332"/>
      <c r="D30" s="360"/>
      <c r="E30" s="361"/>
      <c r="F30" s="362"/>
      <c r="G30" s="380"/>
      <c r="H30" s="383"/>
      <c r="I30" s="384"/>
      <c r="J30" s="363"/>
      <c r="K30" s="271"/>
      <c r="L30" s="230"/>
      <c r="M30" s="273"/>
      <c r="N30" s="363"/>
      <c r="O30" s="239"/>
      <c r="P30" s="233"/>
      <c r="Q30" s="240"/>
      <c r="R30" s="320"/>
      <c r="S30" s="306"/>
      <c r="T30" s="307"/>
    </row>
    <row r="31" spans="1:25" ht="19.5" x14ac:dyDescent="0.2">
      <c r="A31" s="310"/>
      <c r="B31" s="364"/>
      <c r="C31" s="365"/>
      <c r="D31" s="366"/>
      <c r="E31" s="361"/>
      <c r="F31" s="362"/>
      <c r="G31" s="380"/>
      <c r="H31" s="383"/>
      <c r="I31" s="384"/>
      <c r="J31" s="363"/>
      <c r="K31" s="271"/>
      <c r="L31" s="230"/>
      <c r="M31" s="243"/>
      <c r="N31" s="363"/>
      <c r="O31" s="239"/>
      <c r="P31" s="233"/>
      <c r="Q31" s="240"/>
      <c r="R31" s="320"/>
      <c r="S31" s="306"/>
      <c r="T31" s="307"/>
    </row>
    <row r="32" spans="1:25" ht="19.5" x14ac:dyDescent="0.2">
      <c r="A32" s="310"/>
      <c r="B32" s="364"/>
      <c r="C32" s="365"/>
      <c r="D32" s="366"/>
      <c r="E32" s="361"/>
      <c r="F32" s="362"/>
      <c r="G32" s="385"/>
      <c r="H32" s="386"/>
      <c r="I32" s="387"/>
      <c r="J32" s="363"/>
      <c r="K32" s="271"/>
      <c r="L32" s="230"/>
      <c r="M32" s="243"/>
      <c r="N32" s="363"/>
      <c r="O32" s="239"/>
      <c r="P32" s="233"/>
      <c r="Q32" s="240"/>
      <c r="R32" s="320"/>
      <c r="S32" s="306"/>
      <c r="T32" s="307"/>
    </row>
    <row r="33" spans="1:20" ht="19.5" x14ac:dyDescent="0.2">
      <c r="A33" s="310"/>
      <c r="B33" s="364"/>
      <c r="C33" s="365"/>
      <c r="D33" s="366"/>
      <c r="E33" s="361"/>
      <c r="F33" s="362"/>
      <c r="G33" s="385"/>
      <c r="H33" s="386"/>
      <c r="I33" s="387"/>
      <c r="J33" s="363"/>
      <c r="K33" s="271"/>
      <c r="L33" s="230"/>
      <c r="M33" s="243"/>
      <c r="N33" s="363"/>
      <c r="O33" s="239"/>
      <c r="P33" s="233"/>
      <c r="Q33" s="240"/>
      <c r="R33" s="320"/>
      <c r="S33" s="306"/>
      <c r="T33" s="307"/>
    </row>
    <row r="34" spans="1:20" ht="19.5" x14ac:dyDescent="0.2">
      <c r="A34" s="310"/>
      <c r="B34" s="364"/>
      <c r="C34" s="365"/>
      <c r="D34" s="366"/>
      <c r="E34" s="361"/>
      <c r="F34" s="362"/>
      <c r="G34" s="385"/>
      <c r="H34" s="386"/>
      <c r="I34" s="387"/>
      <c r="J34" s="363"/>
      <c r="K34" s="271"/>
      <c r="L34" s="230"/>
      <c r="M34" s="243"/>
      <c r="N34" s="363"/>
      <c r="O34" s="239"/>
      <c r="P34" s="233"/>
      <c r="Q34" s="240"/>
      <c r="R34" s="320"/>
      <c r="S34" s="306"/>
      <c r="T34" s="307"/>
    </row>
    <row r="35" spans="1:20" ht="19.5" x14ac:dyDescent="0.2">
      <c r="A35" s="310"/>
      <c r="B35" s="364"/>
      <c r="C35" s="365"/>
      <c r="D35" s="366"/>
      <c r="E35" s="361"/>
      <c r="F35" s="362"/>
      <c r="G35" s="385"/>
      <c r="H35" s="386"/>
      <c r="I35" s="387"/>
      <c r="J35" s="363"/>
      <c r="K35" s="271"/>
      <c r="L35" s="230"/>
      <c r="M35" s="243"/>
      <c r="N35" s="363"/>
      <c r="O35" s="239"/>
      <c r="P35" s="233"/>
      <c r="Q35" s="240"/>
      <c r="R35" s="320"/>
      <c r="S35" s="306"/>
      <c r="T35" s="307"/>
    </row>
    <row r="36" spans="1:20" ht="20.25" thickBot="1" x14ac:dyDescent="0.25">
      <c r="A36" s="310"/>
      <c r="B36" s="249"/>
      <c r="C36" s="367"/>
      <c r="D36" s="368"/>
      <c r="E36" s="361"/>
      <c r="F36" s="362"/>
      <c r="G36" s="388"/>
      <c r="H36" s="389"/>
      <c r="I36" s="390"/>
      <c r="J36" s="363"/>
      <c r="K36" s="279"/>
      <c r="L36" s="241"/>
      <c r="M36" s="269"/>
      <c r="N36" s="363"/>
      <c r="O36" s="280"/>
      <c r="P36" s="245"/>
      <c r="Q36" s="246"/>
      <c r="R36" s="320"/>
      <c r="S36" s="306"/>
      <c r="T36" s="307"/>
    </row>
    <row r="37" spans="1:20" ht="18.75" thickBot="1" x14ac:dyDescent="0.25">
      <c r="A37" s="310"/>
      <c r="B37" s="297"/>
      <c r="C37" s="298"/>
      <c r="D37" s="369">
        <f>+(D7+D8+D9+D10+D11+D12+D13+D14+D15+D16+D17+D18+D19+D20+D21+D22+D23+D24+D25+D26+D27+D28+D29+D30+D36)</f>
        <v>173760</v>
      </c>
      <c r="E37" s="361"/>
      <c r="F37" s="362"/>
      <c r="G37" s="297"/>
      <c r="H37" s="298"/>
      <c r="I37" s="369">
        <f>+(I7+I8+I9+I10+I11+I12+I13+I14+I15+I16+I17+I18+I20+I19+I21+I22+I23+I24+I25+I26+I27+I29+I28+I30+I36)</f>
        <v>87240</v>
      </c>
      <c r="J37" s="363"/>
      <c r="K37" s="297"/>
      <c r="L37" s="298"/>
      <c r="M37" s="369">
        <v>0</v>
      </c>
      <c r="N37" s="363"/>
      <c r="O37" s="297"/>
      <c r="P37" s="298"/>
      <c r="Q37" s="369">
        <f>SUM(Q7:Q36)</f>
        <v>0</v>
      </c>
      <c r="R37" s="320"/>
      <c r="S37" s="306"/>
      <c r="T37" s="307"/>
    </row>
    <row r="38" spans="1:20" x14ac:dyDescent="0.15">
      <c r="A38" s="307"/>
      <c r="B38" s="304"/>
      <c r="C38" s="304"/>
      <c r="D38" s="304"/>
      <c r="E38" s="307"/>
      <c r="F38" s="307"/>
      <c r="G38" s="304"/>
      <c r="H38" s="304"/>
      <c r="I38" s="304"/>
      <c r="J38" s="307"/>
      <c r="K38" s="304"/>
      <c r="L38" s="304"/>
      <c r="M38" s="304"/>
      <c r="N38" s="307"/>
      <c r="O38" s="304"/>
      <c r="P38" s="304"/>
      <c r="Q38" s="304"/>
      <c r="R38" s="307"/>
      <c r="S38" s="307"/>
      <c r="T38" s="307"/>
    </row>
    <row r="39" spans="1:20" x14ac:dyDescent="0.15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</row>
  </sheetData>
  <mergeCells count="17">
    <mergeCell ref="V19:W19"/>
    <mergeCell ref="V20:W20"/>
    <mergeCell ref="V21:W21"/>
    <mergeCell ref="V22:W22"/>
    <mergeCell ref="V3:Y3"/>
    <mergeCell ref="B5:D5"/>
    <mergeCell ref="G5:I5"/>
    <mergeCell ref="K5:M5"/>
    <mergeCell ref="O5:Q5"/>
    <mergeCell ref="V18:W18"/>
    <mergeCell ref="B3:C3"/>
    <mergeCell ref="D3:G3"/>
    <mergeCell ref="A1:B1"/>
    <mergeCell ref="F1:U1"/>
    <mergeCell ref="A2:B2"/>
    <mergeCell ref="C2:E2"/>
    <mergeCell ref="F2:R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9c259-a935-4d27-9589-64c66137a557" xsi:nil="true"/>
    <lcf76f155ced4ddcb4097134ff3c332f xmlns="fccba456-f2e6-4d5f-9a6b-4651e7176f0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08CF8B2EF41B4194ED2338DD54E992" ma:contentTypeVersion="18" ma:contentTypeDescription="Create a new document." ma:contentTypeScope="" ma:versionID="260946aeb186ad4814077375472ec4f2">
  <xsd:schema xmlns:xsd="http://www.w3.org/2001/XMLSchema" xmlns:xs="http://www.w3.org/2001/XMLSchema" xmlns:p="http://schemas.microsoft.com/office/2006/metadata/properties" xmlns:ns2="ca29c259-a935-4d27-9589-64c66137a557" xmlns:ns3="fccba456-f2e6-4d5f-9a6b-4651e7176f0f" targetNamespace="http://schemas.microsoft.com/office/2006/metadata/properties" ma:root="true" ma:fieldsID="b038ffb62f2834156d4b819399cfb782" ns2:_="" ns3:_="">
    <xsd:import namespace="ca29c259-a935-4d27-9589-64c66137a557"/>
    <xsd:import namespace="fccba456-f2e6-4d5f-9a6b-4651e7176f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9c259-a935-4d27-9589-64c66137a55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5a7600-7a75-4dd0-bca7-163a8186e992}" ma:internalName="TaxCatchAll" ma:showField="CatchAllData" ma:web="ca29c259-a935-4d27-9589-64c66137a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ba456-f2e6-4d5f-9a6b-4651e7176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4810565-78ea-4d12-a83f-46313943b5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64F3E9-2BF7-44D0-A0ED-56D54D9106CB}">
  <ds:schemaRefs>
    <ds:schemaRef ds:uri="http://schemas.microsoft.com/office/2006/metadata/properties"/>
    <ds:schemaRef ds:uri="http://www.w3.org/2000/xmlns/"/>
    <ds:schemaRef ds:uri="ca29c259-a935-4d27-9589-64c66137a557"/>
    <ds:schemaRef ds:uri="http://www.w3.org/2001/XMLSchema-instance"/>
    <ds:schemaRef ds:uri="fccba456-f2e6-4d5f-9a6b-4651e7176f0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7B4213-51F9-45A6-A3E8-01041A7B03A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a29c259-a935-4d27-9589-64c66137a557"/>
    <ds:schemaRef ds:uri="fccba456-f2e6-4d5f-9a6b-4651e7176f0f"/>
  </ds:schemaRefs>
</ds:datastoreItem>
</file>

<file path=customXml/itemProps3.xml><?xml version="1.0" encoding="utf-8"?>
<ds:datastoreItem xmlns:ds="http://schemas.openxmlformats.org/officeDocument/2006/customXml" ds:itemID="{6795FD72-F852-4A08-90A0-AB72D4CFF2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Consumption Guide</vt:lpstr>
      <vt:lpstr> SHED 1 &amp; 2</vt:lpstr>
      <vt:lpstr>SHED  3 &amp; 4 </vt:lpstr>
      <vt:lpstr>SHED  5 &amp; 6</vt:lpstr>
      <vt:lpstr>SHED 7 &amp; 8</vt:lpstr>
      <vt:lpstr>SHED 9 &amp; 10</vt:lpstr>
      <vt:lpstr>SHED 11 &amp; 12</vt:lpstr>
      <vt:lpstr>WEEKLY STOCK TAKE</vt:lpstr>
      <vt:lpstr>end of 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Jason Coverdale</cp:lastModifiedBy>
  <cp:lastPrinted>2026-03-15T21:18:10Z</cp:lastPrinted>
  <dcterms:created xsi:type="dcterms:W3CDTF">2006-03-29T03:34:06Z</dcterms:created>
  <dcterms:modified xsi:type="dcterms:W3CDTF">2026-03-20T06:06:30Z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0x0101008A08CF8B2EF41B4194ED2338DD54E992</vt:lpwstr>
  </property>
  <property fmtid="{D5CDD505-2E9C-101B-9397-08002B2CF9AE}" pid="3" name="MediaServiceImageTags">
    <vt:lpwstr/>
  </property>
</Properties>
</file>