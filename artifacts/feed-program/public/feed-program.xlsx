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umption Guide" sheetId="1" r:id="rId1"/>
    <sheet name=" SHED 1 &amp; 2" sheetId="2" r:id="rId2"/>
    <sheet name="SHED  3 &amp; 4 " sheetId="3" r:id="rId3"/>
    <sheet name="SHED  5 &amp; 6" sheetId="4" r:id="rId4"/>
    <sheet name="SHED 7 &amp; 8" sheetId="5" r:id="rId5"/>
    <sheet name="SHED 9 &amp; 10" sheetId="6" r:id="rId6"/>
    <sheet name="SHED 11 &amp; 12" sheetId="7" r:id="rId7"/>
    <sheet name="WEEKLY STOCK TAKE" sheetId="8" r:id="rId8"/>
    <sheet name="end of batch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.000"/>
    <numFmt numFmtId="165" formatCode="D/M/YYYY"/>
    <numFmt numFmtId="166" formatCode="0.0000"/>
    <numFmt numFmtId="167" formatCode="[$-F800]dddd\,\ mmmm\ dd\,\ yyyy"/>
    <numFmt numFmtId="168" formatCode="dd/mm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16" fontId="0" fillId="0" borderId="0" xfId="0" applyNumberFormat="1"/>
    <xf numFmtId="16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00"/>
  <sheetViews>
    <sheetView workbookViewId="0"/>
  </sheetViews>
  <cols>
    <col min="1" max="1" customWidth="1" width="11.25"/>
    <col min="2" max="2" customWidth="1" width="11.25"/>
    <col min="3" max="3" customWidth="1" width="11.25"/>
    <col min="4" max="4" customWidth="1" width="11.25"/>
    <col min="5" max="5" customWidth="1" width="12.63"/>
    <col min="6" max="6" customWidth="1" width="12.63"/>
    <col min="7" max="7" customWidth="1" width="12.63"/>
    <col min="8" max="8" customWidth="1" width="14.75"/>
    <col min="9" max="9" customWidth="1" width="14.75"/>
    <col min="10" max="10" customWidth="1" width="14.75"/>
    <col min="11" max="11" customWidth="1" width="14.75"/>
    <col min="12" max="12" customWidth="1" width="14.75"/>
    <col min="13" max="13" customWidth="1" width="14.75"/>
    <col min="14" max="14" customWidth="1" width="14.75"/>
    <col min="15" max="15" customWidth="1" width="14.75"/>
    <col min="16" max="16" customWidth="1" width="15.38"/>
    <col min="17" max="17" customWidth="1" width="14.75"/>
    <col min="18" max="18" customWidth="1" width="14.75"/>
    <col min="19" max="19" customWidth="1" width="14.75"/>
    <col min="20" max="20" customWidth="1" width="14.75"/>
    <col min="21" max="21" customWidth="1" width="14.75"/>
    <col min="22" max="22" customWidth="1" width="14.75"/>
    <col min="23" max="23" customWidth="1" width="14.75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</cols>
  <sheetData>
    <row r="1"/>
    <row r="2">
      <c r="A2" s="1" t="str">
        <v xml:space="preserve">    AGE</v>
      </c>
      <c r="B2" s="1" t="str">
        <v xml:space="preserve"> STAND</v>
      </c>
      <c r="C2" s="1" t="str">
        <v xml:space="preserve"> STAND</v>
      </c>
      <c r="D2" s="1" t="str">
        <v xml:space="preserve">       STANDARD FEED CONSUMPTION</v>
      </c>
    </row>
    <row r="3">
      <c r="A3" s="1" t="str">
        <v xml:space="preserve">   DAYS</v>
      </c>
      <c r="B3" s="1" t="str">
        <v xml:space="preserve"> COCKS</v>
      </c>
      <c r="C3" s="1" t="str">
        <v xml:space="preserve"> PULLS</v>
      </c>
      <c r="D3" s="1" t="str">
        <v>MIXED SEX 4% MORT.</v>
      </c>
      <c r="F3" s="1" t="str">
        <v xml:space="preserve">    WINTER</v>
      </c>
      <c r="G3" t="str">
        <v xml:space="preserve">COBB </v>
      </c>
    </row>
    <row r="4">
      <c r="D4" s="1" t="str">
        <v>F.C.R.</v>
      </c>
      <c r="E4" s="1" t="str">
        <v>F.C.R.</v>
      </c>
      <c r="F4" s="1" t="str">
        <v xml:space="preserve">     MIX</v>
      </c>
      <c r="G4">
        <v>500</v>
      </c>
    </row>
    <row r="5">
      <c r="D5" s="2">
        <f>SUM(D8:D50)/1800/0.96</f>
        <v>2.025307158</v>
      </c>
      <c r="E5" s="2">
        <f>SUM(E8:E50)/1800/0.96</f>
        <v>2.085648148</v>
      </c>
      <c r="G5" t="str">
        <v>grams</v>
      </c>
    </row>
    <row r="6"/>
    <row r="7"/>
    <row r="8" ht="12.75" customHeight="1">
      <c r="A8" s="1">
        <v>1</v>
      </c>
      <c r="B8" s="1">
        <v>23</v>
      </c>
      <c r="C8" s="1">
        <v>21</v>
      </c>
      <c r="D8" s="1">
        <f>(E8*2.02/2.08)</f>
        <v>21.36538462</v>
      </c>
      <c r="E8" s="1">
        <v>22</v>
      </c>
      <c r="F8" s="1">
        <v>17</v>
      </c>
      <c r="G8">
        <v>22</v>
      </c>
    </row>
    <row r="9" ht="12.75" customHeight="1">
      <c r="A9" s="1">
        <v>2</v>
      </c>
      <c r="B9" s="1">
        <v>25</v>
      </c>
      <c r="C9" s="1">
        <v>24</v>
      </c>
      <c r="D9" s="1">
        <v>23</v>
      </c>
      <c r="E9" s="1">
        <v>24</v>
      </c>
      <c r="F9" s="1">
        <v>21</v>
      </c>
      <c r="G9">
        <v>24</v>
      </c>
    </row>
    <row r="10" ht="12.75" customHeight="1">
      <c r="A10" s="1">
        <v>3</v>
      </c>
      <c r="B10" s="1">
        <v>27</v>
      </c>
      <c r="C10" s="1">
        <v>26</v>
      </c>
      <c r="D10" s="1">
        <f>(E10*2.02/2.08)</f>
        <v>26.22115385</v>
      </c>
      <c r="E10" s="1">
        <v>27</v>
      </c>
      <c r="F10" s="1">
        <v>26</v>
      </c>
      <c r="G10">
        <v>26</v>
      </c>
    </row>
    <row r="11" ht="12.75" customHeight="1">
      <c r="A11" s="1">
        <v>4</v>
      </c>
      <c r="B11" s="1">
        <v>30</v>
      </c>
      <c r="C11" s="1">
        <v>29</v>
      </c>
      <c r="D11" s="1">
        <f>(E11*2.02/2.08)</f>
        <v>28.16346154</v>
      </c>
      <c r="E11" s="1">
        <v>29</v>
      </c>
      <c r="F11" s="1">
        <v>29</v>
      </c>
      <c r="G11">
        <v>28</v>
      </c>
    </row>
    <row r="12" ht="12.75" customHeight="1">
      <c r="A12" s="1">
        <v>5</v>
      </c>
      <c r="B12" s="1">
        <v>32</v>
      </c>
      <c r="C12" s="1">
        <v>31</v>
      </c>
      <c r="D12" s="1">
        <f>(E12*2.02/2.08)</f>
        <v>30.10576923</v>
      </c>
      <c r="E12" s="1">
        <v>31</v>
      </c>
      <c r="F12" s="1">
        <v>32</v>
      </c>
      <c r="G12">
        <v>30</v>
      </c>
    </row>
    <row r="13" ht="12.75" customHeight="1">
      <c r="A13" s="1">
        <v>6</v>
      </c>
      <c r="B13" s="1">
        <v>34</v>
      </c>
      <c r="C13" s="1">
        <v>33</v>
      </c>
      <c r="D13" s="1">
        <f>(E13*2.02/2.08)</f>
        <v>32.04807692</v>
      </c>
      <c r="E13" s="1">
        <v>33</v>
      </c>
      <c r="F13" s="1">
        <v>35</v>
      </c>
      <c r="G13">
        <v>32</v>
      </c>
    </row>
    <row r="14" ht="12.75" customHeight="1">
      <c r="A14" s="1">
        <v>7</v>
      </c>
      <c r="B14" s="1">
        <v>36</v>
      </c>
      <c r="C14" s="1">
        <v>35</v>
      </c>
      <c r="D14" s="1">
        <f>(E14*2.02/2.08)</f>
        <v>33.99038462</v>
      </c>
      <c r="E14" s="1">
        <v>35</v>
      </c>
      <c r="F14" s="1">
        <v>38</v>
      </c>
      <c r="G14">
        <v>34</v>
      </c>
      <c r="H14">
        <f>SUM(G8:G14)/7</f>
        <v>28</v>
      </c>
    </row>
    <row r="15" ht="12.75" customHeight="1">
      <c r="A15" s="1">
        <v>8</v>
      </c>
      <c r="B15" s="1">
        <v>38</v>
      </c>
      <c r="C15" s="1">
        <v>36</v>
      </c>
      <c r="D15" s="1">
        <f>(E15*2.02/2.08)</f>
        <v>35.93269231</v>
      </c>
      <c r="E15" s="1">
        <v>37</v>
      </c>
      <c r="F15" s="1">
        <v>41</v>
      </c>
      <c r="G15">
        <v>36</v>
      </c>
    </row>
    <row r="16" ht="12.75" customHeight="1">
      <c r="A16" s="1">
        <v>9</v>
      </c>
      <c r="B16" s="1">
        <v>40</v>
      </c>
      <c r="C16" s="1">
        <v>39</v>
      </c>
      <c r="D16" s="1">
        <f>(E16*2.02/2.08)</f>
        <v>37.875</v>
      </c>
      <c r="E16" s="1">
        <v>39</v>
      </c>
      <c r="F16" s="1">
        <v>44</v>
      </c>
      <c r="G16">
        <v>40</v>
      </c>
    </row>
    <row r="17" ht="12.75" customHeight="1">
      <c r="A17" s="1">
        <v>10</v>
      </c>
      <c r="B17" s="1">
        <v>43</v>
      </c>
      <c r="C17" s="1">
        <v>41</v>
      </c>
      <c r="D17" s="1">
        <f>(E17*2.02/2.08)</f>
        <v>40.78846154</v>
      </c>
      <c r="E17" s="1">
        <v>42</v>
      </c>
      <c r="F17" s="1">
        <v>47</v>
      </c>
      <c r="G17">
        <v>45</v>
      </c>
    </row>
    <row r="18" ht="12.75" customHeight="1">
      <c r="A18" s="1">
        <v>11</v>
      </c>
      <c r="B18" s="1">
        <v>45</v>
      </c>
      <c r="C18" s="1">
        <v>43</v>
      </c>
      <c r="D18" s="1">
        <f>(E18*2.02/2.08)</f>
        <v>42.73076923</v>
      </c>
      <c r="E18" s="1">
        <v>44</v>
      </c>
      <c r="F18" s="1">
        <v>51</v>
      </c>
      <c r="G18">
        <v>50</v>
      </c>
    </row>
    <row r="19" ht="12.75" customHeight="1">
      <c r="A19" s="1">
        <v>12</v>
      </c>
      <c r="B19" s="1">
        <v>48</v>
      </c>
      <c r="C19" s="1">
        <v>46</v>
      </c>
      <c r="D19" s="1">
        <f>(E19*2.02/2.08)</f>
        <v>45.64423077</v>
      </c>
      <c r="E19" s="1">
        <v>47</v>
      </c>
      <c r="F19" s="1">
        <v>55</v>
      </c>
      <c r="G19">
        <v>55</v>
      </c>
    </row>
    <row r="20" ht="12.75" customHeight="1">
      <c r="A20" s="1">
        <v>13</v>
      </c>
      <c r="B20" s="1">
        <v>50</v>
      </c>
      <c r="C20" s="1">
        <v>48</v>
      </c>
      <c r="D20" s="1">
        <f>(E20*2.02/2.08)</f>
        <v>47.58653846</v>
      </c>
      <c r="E20" s="1">
        <v>49</v>
      </c>
      <c r="F20" s="1">
        <v>59</v>
      </c>
      <c r="G20">
        <v>60</v>
      </c>
    </row>
    <row r="21" ht="12.75" customHeight="1">
      <c r="A21" s="1">
        <v>14</v>
      </c>
      <c r="B21" s="1">
        <v>54</v>
      </c>
      <c r="C21" s="1">
        <v>52</v>
      </c>
      <c r="D21" s="1">
        <f>(E21*2.02/2.08)</f>
        <v>51.47115385</v>
      </c>
      <c r="E21" s="1">
        <v>53</v>
      </c>
      <c r="F21" s="1">
        <v>63</v>
      </c>
      <c r="G21">
        <v>65</v>
      </c>
      <c r="H21" s="1">
        <f>SUM(G15:G21)/7</f>
        <v>50.14285714</v>
      </c>
    </row>
    <row r="22" ht="12.75" customHeight="1">
      <c r="A22" s="1">
        <v>15</v>
      </c>
      <c r="B22" s="1">
        <v>57</v>
      </c>
      <c r="C22" s="1">
        <v>55</v>
      </c>
      <c r="D22" s="1">
        <f>(E22*2.02/2.08)</f>
        <v>54.38461538</v>
      </c>
      <c r="E22" s="1">
        <v>56</v>
      </c>
      <c r="F22" s="1">
        <v>66</v>
      </c>
      <c r="G22">
        <v>74</v>
      </c>
    </row>
    <row r="23" ht="12.75" customHeight="1">
      <c r="A23" s="1">
        <v>16</v>
      </c>
      <c r="B23" s="1">
        <v>61</v>
      </c>
      <c r="C23" s="1">
        <v>58</v>
      </c>
      <c r="D23" s="1">
        <f>(E23*2.02/2.08)</f>
        <v>57.29807692</v>
      </c>
      <c r="E23" s="1">
        <v>59</v>
      </c>
      <c r="F23" s="1">
        <v>70</v>
      </c>
      <c r="G23">
        <v>75</v>
      </c>
    </row>
    <row r="24" ht="12.75" customHeight="1">
      <c r="A24" s="1">
        <v>17</v>
      </c>
      <c r="B24" s="1">
        <v>66</v>
      </c>
      <c r="C24" s="1">
        <v>62</v>
      </c>
      <c r="D24" s="1">
        <f>(E24*2.02/2.08)</f>
        <v>62.15384615</v>
      </c>
      <c r="E24" s="1">
        <v>64</v>
      </c>
      <c r="F24" s="1">
        <v>73</v>
      </c>
      <c r="G24">
        <v>80</v>
      </c>
    </row>
    <row r="25" ht="12.75" customHeight="1">
      <c r="A25" s="1">
        <v>18</v>
      </c>
      <c r="B25" s="1">
        <v>69</v>
      </c>
      <c r="C25" s="1">
        <v>66</v>
      </c>
      <c r="D25" s="1">
        <f>(E25*2.02/2.08)</f>
        <v>66.03846154</v>
      </c>
      <c r="E25" s="1">
        <v>68</v>
      </c>
      <c r="F25" s="1">
        <v>77</v>
      </c>
      <c r="G25">
        <v>87</v>
      </c>
    </row>
    <row r="26" ht="12.75" customHeight="1">
      <c r="A26" s="1">
        <v>19</v>
      </c>
      <c r="B26" s="1">
        <v>75</v>
      </c>
      <c r="C26" s="1">
        <v>72</v>
      </c>
      <c r="D26" s="1">
        <f>(E26*2.02/2.08)</f>
        <v>70.89423077</v>
      </c>
      <c r="E26" s="1">
        <v>73</v>
      </c>
      <c r="F26" s="1">
        <v>81</v>
      </c>
      <c r="G26">
        <v>93</v>
      </c>
    </row>
    <row r="27" ht="12.75" customHeight="1">
      <c r="A27" s="1">
        <v>20</v>
      </c>
      <c r="B27" s="1">
        <v>79</v>
      </c>
      <c r="C27" s="1">
        <v>77</v>
      </c>
      <c r="D27" s="1">
        <f>(E27*2.02/2.08)</f>
        <v>75.75</v>
      </c>
      <c r="E27" s="1">
        <v>78</v>
      </c>
      <c r="F27" s="1">
        <v>85</v>
      </c>
      <c r="G27">
        <v>97</v>
      </c>
    </row>
    <row r="28" ht="12.75" customHeight="1">
      <c r="A28" s="1">
        <v>21</v>
      </c>
      <c r="B28" s="1">
        <v>84</v>
      </c>
      <c r="C28" s="1">
        <v>80</v>
      </c>
      <c r="D28" s="1">
        <f>(E28*2.02/2.08)</f>
        <v>79.63461538</v>
      </c>
      <c r="E28" s="1">
        <v>82</v>
      </c>
      <c r="F28" s="1">
        <v>89</v>
      </c>
      <c r="G28">
        <v>103</v>
      </c>
      <c r="H28">
        <f>SUM(G22:G28)/7</f>
        <v>87</v>
      </c>
    </row>
    <row r="29" ht="12.75" customHeight="1">
      <c r="A29" s="1">
        <v>22</v>
      </c>
      <c r="B29" s="1">
        <v>90</v>
      </c>
      <c r="C29" s="1">
        <v>85</v>
      </c>
      <c r="D29" s="1">
        <f>(E29*2.02/2.08)</f>
        <v>84.49038462</v>
      </c>
      <c r="E29" s="1">
        <v>87</v>
      </c>
      <c r="F29" s="1">
        <v>93</v>
      </c>
      <c r="G29">
        <v>107</v>
      </c>
    </row>
    <row r="30" ht="12.75" customHeight="1">
      <c r="A30" s="1">
        <v>23</v>
      </c>
      <c r="B30" s="1">
        <v>94</v>
      </c>
      <c r="C30" s="1">
        <v>90</v>
      </c>
      <c r="D30" s="1">
        <f>(E30*2.02/2.08)</f>
        <v>89.34615385</v>
      </c>
      <c r="E30" s="1">
        <v>92</v>
      </c>
      <c r="F30" s="1">
        <v>97</v>
      </c>
      <c r="G30">
        <v>113</v>
      </c>
    </row>
    <row r="31" ht="12.75" customHeight="1">
      <c r="A31" s="1">
        <v>24</v>
      </c>
      <c r="B31" s="1">
        <v>98</v>
      </c>
      <c r="C31" s="1">
        <v>94</v>
      </c>
      <c r="D31" s="1">
        <f>(E31*2.02/2.08)</f>
        <v>93.23076923</v>
      </c>
      <c r="E31" s="1">
        <v>96</v>
      </c>
      <c r="F31" s="1">
        <v>101</v>
      </c>
      <c r="G31">
        <v>118</v>
      </c>
    </row>
    <row r="32" ht="12.75" customHeight="1">
      <c r="A32" s="1">
        <v>25</v>
      </c>
      <c r="B32" s="1">
        <v>101</v>
      </c>
      <c r="C32" s="1">
        <v>98</v>
      </c>
      <c r="D32" s="1">
        <f>(E32*2.02/2.08)</f>
        <v>97.11538462</v>
      </c>
      <c r="E32" s="1">
        <v>100</v>
      </c>
      <c r="F32" s="1">
        <v>105</v>
      </c>
      <c r="G32">
        <v>122</v>
      </c>
    </row>
    <row r="33" ht="12.75" customHeight="1">
      <c r="A33" s="1">
        <v>26</v>
      </c>
      <c r="B33" s="1">
        <v>106</v>
      </c>
      <c r="C33" s="1">
        <v>100</v>
      </c>
      <c r="D33" s="1">
        <f>(E33*2.02/2.08)</f>
        <v>100.0288462</v>
      </c>
      <c r="E33" s="1">
        <v>103</v>
      </c>
      <c r="F33" s="1">
        <v>109</v>
      </c>
      <c r="G33">
        <v>128</v>
      </c>
    </row>
    <row r="34" ht="12.75" customHeight="1">
      <c r="A34" s="1">
        <v>27</v>
      </c>
      <c r="B34" s="1">
        <v>109</v>
      </c>
      <c r="C34" s="1">
        <v>103</v>
      </c>
      <c r="D34" s="1">
        <f>(E34*2.02/2.08)</f>
        <v>102.9423077</v>
      </c>
      <c r="E34" s="1">
        <v>106</v>
      </c>
      <c r="F34" s="1">
        <v>113</v>
      </c>
      <c r="G34">
        <v>134</v>
      </c>
    </row>
    <row r="35" ht="12.75" customHeight="1">
      <c r="A35" s="1">
        <v>28</v>
      </c>
      <c r="B35" s="1">
        <v>113</v>
      </c>
      <c r="C35" s="1">
        <v>105</v>
      </c>
      <c r="D35" s="1">
        <f>(E35*2.02/2.08)</f>
        <v>105.8557692</v>
      </c>
      <c r="E35" s="1">
        <v>109</v>
      </c>
      <c r="F35" s="1">
        <v>116</v>
      </c>
      <c r="G35">
        <v>139</v>
      </c>
      <c r="H35" s="1">
        <f>SUM(G29:G35)/7</f>
        <v>123</v>
      </c>
    </row>
    <row r="36" ht="12.75" customHeight="1">
      <c r="A36" s="1">
        <v>29</v>
      </c>
      <c r="B36" s="1">
        <v>117</v>
      </c>
      <c r="C36" s="1">
        <v>109</v>
      </c>
      <c r="D36" s="1">
        <f>(E36*2.02/2.08)</f>
        <v>109.7403846</v>
      </c>
      <c r="E36" s="1">
        <v>113</v>
      </c>
      <c r="F36" s="1">
        <v>119</v>
      </c>
      <c r="G36">
        <v>140</v>
      </c>
    </row>
    <row r="37" ht="12.75" customHeight="1">
      <c r="A37" s="1">
        <v>30</v>
      </c>
      <c r="B37" s="1">
        <v>119</v>
      </c>
      <c r="C37" s="1">
        <v>111</v>
      </c>
      <c r="D37" s="1">
        <f>(E37*2.02/2.08)</f>
        <v>111.6826923</v>
      </c>
      <c r="E37" s="1">
        <v>115</v>
      </c>
      <c r="F37" s="1">
        <v>123</v>
      </c>
      <c r="G37">
        <v>142</v>
      </c>
    </row>
    <row r="38" ht="12.75" customHeight="1">
      <c r="A38" s="1">
        <v>31</v>
      </c>
      <c r="B38" s="1">
        <v>122</v>
      </c>
      <c r="C38" s="1">
        <v>112</v>
      </c>
      <c r="D38" s="1">
        <f>(E38*2.02/2.08)</f>
        <v>113.625</v>
      </c>
      <c r="E38" s="1">
        <v>117</v>
      </c>
      <c r="F38" s="1">
        <v>126</v>
      </c>
      <c r="G38">
        <v>149</v>
      </c>
    </row>
    <row r="39" ht="12.75" customHeight="1">
      <c r="A39" s="1">
        <v>32</v>
      </c>
      <c r="B39" s="1">
        <v>123</v>
      </c>
      <c r="C39" s="1">
        <v>116</v>
      </c>
      <c r="D39" s="1">
        <f>(E39*2.02/2.08)</f>
        <v>115.5673077</v>
      </c>
      <c r="E39" s="1">
        <v>119</v>
      </c>
      <c r="F39" s="1">
        <v>130</v>
      </c>
      <c r="G39">
        <v>153</v>
      </c>
    </row>
    <row r="40" ht="12.75" customHeight="1">
      <c r="A40" s="1">
        <v>33</v>
      </c>
      <c r="B40" s="1">
        <v>127</v>
      </c>
      <c r="C40" s="1">
        <v>118</v>
      </c>
      <c r="D40" s="1">
        <f>(E40*2.02/2.08)</f>
        <v>118.4807692</v>
      </c>
      <c r="E40" s="1">
        <v>122</v>
      </c>
      <c r="F40" s="1">
        <v>134</v>
      </c>
      <c r="G40">
        <v>158</v>
      </c>
    </row>
    <row r="41" ht="12.75" customHeight="1">
      <c r="A41" s="1">
        <v>34</v>
      </c>
      <c r="B41" s="1">
        <v>129</v>
      </c>
      <c r="C41" s="1">
        <v>120</v>
      </c>
      <c r="D41" s="1">
        <f>(E41*2.02/2.08)</f>
        <v>120.4230769</v>
      </c>
      <c r="E41" s="1">
        <v>124</v>
      </c>
      <c r="F41" s="1">
        <v>137</v>
      </c>
      <c r="G41">
        <v>163</v>
      </c>
    </row>
    <row r="42" ht="12.75" customHeight="1">
      <c r="A42" s="1">
        <v>35</v>
      </c>
      <c r="B42" s="1">
        <v>131</v>
      </c>
      <c r="C42" s="1">
        <v>122</v>
      </c>
      <c r="D42" s="1">
        <f>(E42*2.02/2.08)</f>
        <v>123.3365385</v>
      </c>
      <c r="E42" s="1">
        <v>127</v>
      </c>
      <c r="F42" s="1">
        <v>140</v>
      </c>
      <c r="G42">
        <v>165</v>
      </c>
      <c r="H42" s="1">
        <f>SUM(G36:G42)/7</f>
        <v>152.8571429</v>
      </c>
    </row>
    <row r="43" ht="12.75" customHeight="1">
      <c r="A43" s="1">
        <v>36</v>
      </c>
      <c r="B43" s="1">
        <v>133</v>
      </c>
      <c r="C43" s="1">
        <v>124</v>
      </c>
      <c r="D43" s="1">
        <f>(E43*2.02/2.08)</f>
        <v>124.3076923</v>
      </c>
      <c r="E43" s="1">
        <v>128</v>
      </c>
      <c r="F43" s="1">
        <v>143</v>
      </c>
      <c r="G43">
        <v>168</v>
      </c>
    </row>
    <row r="44" ht="12.75" customHeight="1">
      <c r="A44" s="1">
        <v>37</v>
      </c>
      <c r="B44" s="1">
        <v>135</v>
      </c>
      <c r="C44" s="1">
        <v>127</v>
      </c>
      <c r="D44" s="1">
        <f>(E44*2.02/2.08)</f>
        <v>127.2211538</v>
      </c>
      <c r="E44" s="1">
        <v>131</v>
      </c>
      <c r="F44" s="1">
        <v>146</v>
      </c>
      <c r="G44">
        <v>171</v>
      </c>
    </row>
    <row r="45" ht="12.75" customHeight="1">
      <c r="A45" s="1">
        <v>38</v>
      </c>
      <c r="B45" s="1">
        <v>138</v>
      </c>
      <c r="C45" s="1">
        <v>130</v>
      </c>
      <c r="D45" s="1">
        <f>(E45*2.02/2.08)</f>
        <v>130.1346154</v>
      </c>
      <c r="E45" s="1">
        <v>134</v>
      </c>
      <c r="F45" s="1">
        <v>149</v>
      </c>
      <c r="G45">
        <v>174</v>
      </c>
    </row>
    <row r="46" ht="12.75" customHeight="1">
      <c r="A46" s="1">
        <v>39</v>
      </c>
      <c r="B46" s="1">
        <v>139</v>
      </c>
      <c r="C46" s="1">
        <v>131</v>
      </c>
      <c r="D46" s="1">
        <f>(E46*2.02/2.08)</f>
        <v>131.1057692</v>
      </c>
      <c r="E46" s="1">
        <v>135</v>
      </c>
      <c r="F46" s="1">
        <v>152</v>
      </c>
      <c r="G46">
        <v>176</v>
      </c>
    </row>
    <row r="47" ht="12.75" customHeight="1">
      <c r="A47" s="1">
        <v>40</v>
      </c>
      <c r="B47" s="1">
        <v>141</v>
      </c>
      <c r="C47" s="1">
        <v>133</v>
      </c>
      <c r="D47" s="1">
        <f>(E47*2.02/2.08)</f>
        <v>133.0480769</v>
      </c>
      <c r="E47" s="1">
        <v>137</v>
      </c>
      <c r="F47" s="1">
        <v>154</v>
      </c>
      <c r="G47">
        <v>178</v>
      </c>
    </row>
    <row r="48" ht="12.75" customHeight="1">
      <c r="A48" s="1">
        <v>41</v>
      </c>
      <c r="B48" s="1">
        <v>142</v>
      </c>
      <c r="C48" s="1">
        <v>134</v>
      </c>
      <c r="D48" s="1">
        <f>(E48*2.02/2.08)</f>
        <v>134.0192308</v>
      </c>
      <c r="E48" s="1">
        <v>138</v>
      </c>
      <c r="F48" s="1">
        <v>157</v>
      </c>
      <c r="G48">
        <v>180</v>
      </c>
    </row>
    <row r="49" ht="12.75" customHeight="1">
      <c r="A49" s="1">
        <v>42</v>
      </c>
      <c r="B49" s="1">
        <v>144</v>
      </c>
      <c r="C49" s="1">
        <v>135</v>
      </c>
      <c r="D49" s="1">
        <f>(E49*2.02/2.08)</f>
        <v>134.9903846</v>
      </c>
      <c r="E49" s="1">
        <v>139</v>
      </c>
      <c r="F49" s="1">
        <v>160</v>
      </c>
      <c r="G49">
        <v>181</v>
      </c>
      <c r="H49" s="1">
        <f>SUM(G43:G49)/7</f>
        <v>175.4285714</v>
      </c>
    </row>
    <row r="50" ht="12.75" customHeight="1">
      <c r="A50" s="1">
        <v>43</v>
      </c>
      <c r="B50" s="1">
        <v>145</v>
      </c>
      <c r="C50" s="1">
        <v>136</v>
      </c>
      <c r="D50" s="1">
        <f>(E50*2.02/2.08)</f>
        <v>135.9615385</v>
      </c>
      <c r="E50" s="1">
        <v>140</v>
      </c>
      <c r="F50" s="1">
        <v>163</v>
      </c>
      <c r="G50">
        <v>188</v>
      </c>
    </row>
    <row r="51" ht="12.75" customHeight="1">
      <c r="A51" s="1">
        <v>44</v>
      </c>
      <c r="B51" s="1">
        <v>146</v>
      </c>
      <c r="C51" s="1">
        <v>138</v>
      </c>
      <c r="D51" s="1">
        <f>(E51*2.02/2.08)</f>
        <v>136.9326923</v>
      </c>
      <c r="E51" s="1">
        <v>141</v>
      </c>
      <c r="F51" s="1">
        <v>165</v>
      </c>
      <c r="G51">
        <v>190</v>
      </c>
    </row>
    <row r="52" ht="12.75" customHeight="1">
      <c r="A52" s="1">
        <v>45</v>
      </c>
      <c r="B52" s="1">
        <v>149</v>
      </c>
      <c r="C52" s="1">
        <v>139</v>
      </c>
      <c r="D52" s="1">
        <f>(E52*2.02/2.08)</f>
        <v>137.9038462</v>
      </c>
      <c r="E52" s="1">
        <v>142</v>
      </c>
      <c r="F52" s="1">
        <v>169</v>
      </c>
      <c r="G52">
        <v>192</v>
      </c>
    </row>
    <row r="53" ht="12.75" customHeight="1">
      <c r="A53" s="1">
        <v>46</v>
      </c>
      <c r="B53" s="1">
        <v>150</v>
      </c>
      <c r="C53" s="1">
        <v>140</v>
      </c>
      <c r="D53" s="1">
        <f>(E53*2.02/2.08)</f>
        <v>139.8461538</v>
      </c>
      <c r="E53" s="1">
        <v>144</v>
      </c>
      <c r="F53" s="1">
        <v>172</v>
      </c>
      <c r="G53">
        <v>193</v>
      </c>
    </row>
    <row r="54" ht="12.75" customHeight="1">
      <c r="A54" s="1">
        <v>47</v>
      </c>
      <c r="B54" s="1">
        <v>151</v>
      </c>
      <c r="C54" s="1">
        <v>141</v>
      </c>
      <c r="D54" s="1">
        <f>(E54*2.02/2.08)</f>
        <v>140.8173077</v>
      </c>
      <c r="E54" s="1">
        <v>145</v>
      </c>
      <c r="F54" s="1">
        <v>174</v>
      </c>
      <c r="G54">
        <v>194</v>
      </c>
    </row>
    <row r="55" ht="12.75" customHeight="1">
      <c r="A55" s="1">
        <v>48</v>
      </c>
      <c r="B55" s="1">
        <v>153</v>
      </c>
      <c r="C55" s="1">
        <v>142</v>
      </c>
      <c r="D55" s="1">
        <f>(E55*2.02/2.08)</f>
        <v>141.7884615</v>
      </c>
      <c r="E55" s="1">
        <v>146</v>
      </c>
      <c r="F55" s="1">
        <v>177</v>
      </c>
      <c r="G55">
        <v>195</v>
      </c>
    </row>
    <row r="56" ht="12.75" customHeight="1">
      <c r="A56" s="1">
        <v>49</v>
      </c>
      <c r="B56" s="1">
        <v>155</v>
      </c>
      <c r="C56" s="1">
        <v>143</v>
      </c>
      <c r="D56" s="1">
        <f>(E56*2.02/2.08)</f>
        <v>143.7307692</v>
      </c>
      <c r="E56" s="1">
        <v>148</v>
      </c>
      <c r="F56" s="1">
        <v>179</v>
      </c>
      <c r="G56">
        <v>196</v>
      </c>
      <c r="H56" s="1">
        <f>SUM(G49:G55)/7</f>
        <v>190.4285714</v>
      </c>
    </row>
    <row r="57" ht="12.75" customHeight="1">
      <c r="A57" s="1">
        <v>50</v>
      </c>
      <c r="B57" s="1">
        <v>157</v>
      </c>
      <c r="C57" s="1">
        <v>144</v>
      </c>
      <c r="D57" s="1">
        <f>(E57*2.02/2.08)</f>
        <v>145.6730769</v>
      </c>
      <c r="E57" s="1">
        <v>150</v>
      </c>
      <c r="F57" s="1">
        <v>182</v>
      </c>
      <c r="G57">
        <v>197</v>
      </c>
    </row>
    <row r="58" ht="12.75" customHeight="1">
      <c r="A58" s="1">
        <v>51</v>
      </c>
      <c r="B58" s="1">
        <v>159</v>
      </c>
      <c r="C58" s="1">
        <v>145</v>
      </c>
      <c r="D58" s="1">
        <f>(E58*2.02/2.08)</f>
        <v>147.6153846</v>
      </c>
      <c r="E58" s="1">
        <v>152</v>
      </c>
      <c r="F58" s="1">
        <v>185</v>
      </c>
      <c r="G58">
        <v>197</v>
      </c>
    </row>
    <row r="59" ht="12.75" customHeight="1">
      <c r="A59" s="1">
        <v>52</v>
      </c>
      <c r="B59" s="1">
        <f>(B57+2)</f>
        <v>159</v>
      </c>
      <c r="C59" s="1">
        <f>(C57+2)</f>
        <v>146</v>
      </c>
      <c r="D59" s="1">
        <f>(E59*2.02/2.08)</f>
        <v>149.5576923</v>
      </c>
      <c r="E59" s="1">
        <v>154</v>
      </c>
      <c r="F59" s="1">
        <v>188</v>
      </c>
      <c r="G59">
        <v>197</v>
      </c>
    </row>
    <row r="60" ht="12.75" customHeight="1">
      <c r="A60">
        <v>53</v>
      </c>
      <c r="B60" s="1">
        <f>(B58+2)</f>
        <v>161</v>
      </c>
      <c r="C60" s="1">
        <f>(C58+2)</f>
        <v>147</v>
      </c>
      <c r="D60" s="1">
        <f>(E60*2.02/2.08)</f>
        <v>151.5</v>
      </c>
      <c r="E60">
        <v>156</v>
      </c>
      <c r="F60" s="1">
        <v>193</v>
      </c>
      <c r="G60">
        <v>198</v>
      </c>
    </row>
    <row r="61" ht="12.75" customHeight="1">
      <c r="A61">
        <v>54</v>
      </c>
      <c r="B61" s="1">
        <f>(B59+2)</f>
        <v>161</v>
      </c>
      <c r="C61" s="1">
        <f>(C59+2)</f>
        <v>148</v>
      </c>
      <c r="D61" s="1">
        <f>(E61*2.02/2.08)</f>
        <v>153.4423077</v>
      </c>
      <c r="E61">
        <v>158</v>
      </c>
      <c r="F61" s="1">
        <v>195</v>
      </c>
      <c r="G61">
        <v>197</v>
      </c>
    </row>
    <row r="62" ht="12.75" customHeight="1">
      <c r="A62">
        <v>55</v>
      </c>
      <c r="B62" s="1">
        <f>(B60+2)</f>
        <v>163</v>
      </c>
      <c r="C62" s="1">
        <f>(C60+2)</f>
        <v>149</v>
      </c>
      <c r="D62" s="1">
        <f>(E62*2.02/2.08)</f>
        <v>155.3846154</v>
      </c>
      <c r="E62">
        <v>160</v>
      </c>
      <c r="F62" s="1">
        <v>199</v>
      </c>
      <c r="G62">
        <v>198</v>
      </c>
    </row>
    <row r="63" ht="12.75" customHeight="1">
      <c r="A63">
        <v>56</v>
      </c>
      <c r="B63" s="1">
        <f>(B61+2)</f>
        <v>163</v>
      </c>
      <c r="C63" s="1">
        <f>(C61+2)</f>
        <v>150</v>
      </c>
      <c r="D63" s="1">
        <f>(E63*2.02/2.08)</f>
        <v>157.3269231</v>
      </c>
      <c r="E63">
        <v>162</v>
      </c>
      <c r="F63" s="1">
        <v>202</v>
      </c>
      <c r="G63">
        <v>197</v>
      </c>
      <c r="H63" s="1">
        <f>SUM(G56:G62)/7</f>
        <v>197.1428571</v>
      </c>
    </row>
    <row r="64" ht="12.75" customHeight="1">
      <c r="A64">
        <v>57</v>
      </c>
      <c r="B64" s="1">
        <f>(B62+2)</f>
        <v>165</v>
      </c>
      <c r="C64" s="1">
        <f>(C62+2)</f>
        <v>151</v>
      </c>
      <c r="D64" s="1">
        <f>(E64*2.02/2.08)</f>
        <v>159.2692308</v>
      </c>
      <c r="E64">
        <v>164</v>
      </c>
      <c r="F64" s="1">
        <v>205</v>
      </c>
      <c r="G64">
        <v>195</v>
      </c>
    </row>
    <row r="65" ht="12.75" customHeight="1">
      <c r="A65">
        <v>58</v>
      </c>
      <c r="B65" s="1">
        <f>(B63+2)</f>
        <v>165</v>
      </c>
      <c r="C65" s="1">
        <f>(C63+2)</f>
        <v>152</v>
      </c>
      <c r="D65" s="1">
        <f>(E65*2.02/2.08)</f>
        <v>161.2115385</v>
      </c>
      <c r="E65">
        <v>166</v>
      </c>
      <c r="F65" s="1">
        <v>208</v>
      </c>
      <c r="G65">
        <v>195</v>
      </c>
    </row>
    <row r="66" ht="12.75" customHeight="1">
      <c r="A66">
        <v>59</v>
      </c>
      <c r="B66" s="1">
        <f>(B64+2)</f>
        <v>167</v>
      </c>
      <c r="C66" s="1">
        <f>(C64+2)</f>
        <v>153</v>
      </c>
      <c r="D66" s="1">
        <f>(E66*2.02/2.08)</f>
        <v>163.1538462</v>
      </c>
      <c r="E66">
        <v>168</v>
      </c>
      <c r="F66" s="1">
        <v>211</v>
      </c>
      <c r="G66">
        <v>195</v>
      </c>
    </row>
    <row r="67" ht="12.75" customHeight="1">
      <c r="A67">
        <v>60</v>
      </c>
      <c r="B67" s="1">
        <f>(B65+2)</f>
        <v>167</v>
      </c>
      <c r="C67" s="1">
        <f>(C65+2)</f>
        <v>154</v>
      </c>
      <c r="D67" s="1">
        <f>(E67*2.02/2.08)</f>
        <v>165.0961538</v>
      </c>
      <c r="E67">
        <v>170</v>
      </c>
      <c r="F67" s="1">
        <v>218</v>
      </c>
      <c r="G67">
        <v>195</v>
      </c>
    </row>
    <row r="68" ht="12.75" customHeight="1">
      <c r="A68">
        <v>61</v>
      </c>
      <c r="B68" s="1">
        <f>(B66+2)</f>
        <v>169</v>
      </c>
      <c r="C68" s="1">
        <f>(C66+2)</f>
        <v>155</v>
      </c>
      <c r="D68" s="1">
        <f>(E68*2.02/2.08)</f>
        <v>167.0384615</v>
      </c>
      <c r="E68">
        <f>(E67+2)</f>
        <v>172</v>
      </c>
      <c r="F68" s="1">
        <v>221</v>
      </c>
      <c r="G68">
        <v>195</v>
      </c>
    </row>
    <row r="69" ht="12.75" customHeight="1">
      <c r="A69">
        <v>62</v>
      </c>
      <c r="B69" s="1">
        <f>(B67+2)</f>
        <v>169</v>
      </c>
      <c r="C69" s="1">
        <f>(C67+2)</f>
        <v>156</v>
      </c>
      <c r="D69" s="1">
        <f>(E69*2.02/2.08)</f>
        <v>168.9807692</v>
      </c>
      <c r="E69">
        <f>(E68+2)</f>
        <v>174</v>
      </c>
      <c r="F69" s="1">
        <v>234</v>
      </c>
      <c r="G69">
        <v>195</v>
      </c>
    </row>
    <row r="70" ht="12.75" customHeight="1">
      <c r="A70">
        <v>63</v>
      </c>
      <c r="B70" s="1">
        <f>(B68+2)</f>
        <v>171</v>
      </c>
      <c r="C70" s="1">
        <f>(C68+2)</f>
        <v>157</v>
      </c>
      <c r="D70" s="1">
        <f>(E70*2.02/2.08)</f>
        <v>170.9230769</v>
      </c>
      <c r="E70">
        <f>(E69+2)</f>
        <v>176</v>
      </c>
      <c r="F70" s="1">
        <v>234</v>
      </c>
      <c r="G70">
        <v>195</v>
      </c>
    </row>
    <row r="71" ht="12.75" customHeight="1">
      <c r="A71">
        <v>64</v>
      </c>
      <c r="B71" s="1">
        <f>(B69+2)</f>
        <v>171</v>
      </c>
      <c r="C71" s="1">
        <f>(C69+2)</f>
        <v>158</v>
      </c>
      <c r="D71" s="1">
        <f>(E71*2.02/2.08)</f>
        <v>172.8653846</v>
      </c>
      <c r="E71">
        <f>(E70+2)</f>
        <v>178</v>
      </c>
      <c r="F71" s="1">
        <v>234</v>
      </c>
      <c r="G71">
        <v>195</v>
      </c>
    </row>
    <row r="72" ht="12.75" customHeight="1">
      <c r="A72">
        <v>65</v>
      </c>
      <c r="B72" s="1">
        <f>(B70+2)</f>
        <v>173</v>
      </c>
      <c r="C72" s="1">
        <f>(C70+2)</f>
        <v>159</v>
      </c>
      <c r="D72" s="1">
        <f>(E72*2.02/2.08)</f>
        <v>174.8076923</v>
      </c>
      <c r="E72">
        <f>(E71+2)</f>
        <v>180</v>
      </c>
      <c r="F72" s="1">
        <v>234</v>
      </c>
      <c r="G72">
        <v>195</v>
      </c>
    </row>
    <row r="73" ht="12.75" customHeight="1">
      <c r="A73">
        <v>66</v>
      </c>
      <c r="B73" s="1">
        <f>(B71+2)</f>
        <v>173</v>
      </c>
      <c r="C73" s="1">
        <f>(C71+2)</f>
        <v>160</v>
      </c>
      <c r="D73" s="1">
        <f>(E73*2.02/2.08)</f>
        <v>176.75</v>
      </c>
      <c r="E73">
        <f>(E72+2)</f>
        <v>182</v>
      </c>
      <c r="F73" s="1">
        <v>234</v>
      </c>
      <c r="G73">
        <v>195</v>
      </c>
    </row>
    <row r="74" ht="12.75" customHeight="1">
      <c r="A74">
        <v>67</v>
      </c>
      <c r="B74" s="1">
        <f>(B72+2)</f>
        <v>175</v>
      </c>
      <c r="C74" s="1">
        <f>(C72+2)</f>
        <v>161</v>
      </c>
      <c r="D74" s="1">
        <f>(E74*2.02/2.08)</f>
        <v>178.6923077</v>
      </c>
      <c r="E74">
        <f>(E73+2)</f>
        <v>184</v>
      </c>
      <c r="F74" s="1">
        <v>234</v>
      </c>
      <c r="G74">
        <v>195</v>
      </c>
    </row>
    <row r="75" ht="12.75" customHeight="1">
      <c r="A75">
        <v>68</v>
      </c>
      <c r="B75" s="1">
        <f>(B73+2)</f>
        <v>175</v>
      </c>
      <c r="C75" s="1">
        <f>(C73+2)</f>
        <v>162</v>
      </c>
      <c r="D75" s="1">
        <f>(E75*2.02/2.08)</f>
        <v>180.6346154</v>
      </c>
      <c r="E75">
        <f>(E74+2)</f>
        <v>186</v>
      </c>
      <c r="F75" s="1">
        <v>234</v>
      </c>
      <c r="G75">
        <v>195</v>
      </c>
    </row>
    <row r="76" ht="12.75" customHeight="1">
      <c r="A76">
        <v>69</v>
      </c>
      <c r="B76" s="1">
        <f>(B74+2)</f>
        <v>177</v>
      </c>
      <c r="C76" s="1">
        <f>(C74+2)</f>
        <v>163</v>
      </c>
      <c r="D76" s="1">
        <f>(E76*2.02/2.08)</f>
        <v>182.5769231</v>
      </c>
      <c r="E76">
        <f>(E75+2)</f>
        <v>188</v>
      </c>
      <c r="F76" s="1">
        <v>234</v>
      </c>
      <c r="G76">
        <v>195</v>
      </c>
    </row>
    <row r="77" ht="12.75" customHeight="1">
      <c r="A77">
        <v>70</v>
      </c>
      <c r="B77" s="1">
        <f>(B75+2)</f>
        <v>177</v>
      </c>
      <c r="C77" s="1">
        <f>(C75+2)</f>
        <v>164</v>
      </c>
      <c r="D77" s="1">
        <f>(E77*2.02/2.08)</f>
        <v>184.5192308</v>
      </c>
      <c r="E77">
        <f>(E76+2)</f>
        <v>190</v>
      </c>
      <c r="F77" s="1">
        <v>234</v>
      </c>
      <c r="G77">
        <v>195</v>
      </c>
    </row>
    <row r="78" ht="12.75" customHeight="1"/>
    <row r="79" ht="12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ignoredErrors>
    <ignoredError numberStoredAsText="1" sqref="A1:AB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4.25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6"/>
    <col min="15" max="15" customWidth="1" width="11"/>
    <col min="16" max="16" customWidth="1" width="8.38"/>
    <col min="17" max="17" customWidth="1" width="16.38"/>
    <col min="18" max="18" customWidth="1" width="21.38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1 &amp; 2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1</v>
      </c>
    </row>
    <row r="4" ht="19.5" customHeight="1">
      <c r="B4" t="str">
        <v>SHED 1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2</v>
      </c>
    </row>
    <row r="5" ht="18.75" customHeight="1">
      <c r="B5" t="str">
        <v>SHED 2</v>
      </c>
      <c r="C5">
        <v>0</v>
      </c>
      <c r="G5" t="str">
        <v>WDW ALL.</v>
      </c>
      <c r="H5">
        <v>0</v>
      </c>
      <c r="I5" t="str">
        <v>KG.</v>
      </c>
    </row>
    <row r="6" ht="37.5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SILOST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3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3.25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2.5" customHeight="1">
      <c r="A24">
        <v>12</v>
      </c>
    </row>
    <row r="25" ht="23.25" customHeight="1">
      <c r="A25">
        <v>13</v>
      </c>
    </row>
    <row r="26" ht="21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3.25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1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3.25" customHeight="1">
      <c r="A54">
        <v>42</v>
      </c>
    </row>
    <row r="55" ht="23.25" customHeight="1">
      <c r="A55">
        <v>43</v>
      </c>
    </row>
    <row r="56" ht="23.25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4" customHeight="1">
      <c r="A59">
        <v>47</v>
      </c>
    </row>
    <row r="60" ht="23.25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3.25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>
        <v>0</v>
      </c>
    </row>
    <row r="75" ht="23.25" customHeight="1">
      <c r="C75" s="5" t="str">
        <v xml:space="preserve">Total Feed Ordered </v>
      </c>
      <c r="E75" s="1">
        <v>138000</v>
      </c>
      <c r="G75">
        <v>0</v>
      </c>
    </row>
    <row r="76" ht="23.25" customHeight="1"/>
    <row r="77" ht="23.25" customHeight="1">
      <c r="D77" s="3">
        <v>1.707920792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4.25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6.13"/>
    <col min="15" max="15" customWidth="1" width="11"/>
    <col min="16" max="16" customWidth="1" width="8.38"/>
    <col min="17" max="17" customWidth="1" width="9.38"/>
    <col min="18" max="18" customWidth="1" width="17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3 &amp; 4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3</v>
      </c>
    </row>
    <row r="4" ht="19.5" customHeight="1">
      <c r="B4" t="str">
        <v>SHED 3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4</v>
      </c>
    </row>
    <row r="5" ht="18.75" customHeight="1">
      <c r="B5" t="str">
        <v>SHED 4</v>
      </c>
      <c r="C5">
        <v>0</v>
      </c>
      <c r="G5" t="str">
        <v>WDW ALL.</v>
      </c>
      <c r="H5">
        <v>0</v>
      </c>
      <c r="I5" t="str">
        <v>KG.</v>
      </c>
    </row>
    <row r="6" ht="44.25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SILOST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0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3.25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3.25" customHeight="1">
      <c r="A24">
        <v>12</v>
      </c>
    </row>
    <row r="25" ht="23.25" customHeight="1">
      <c r="A25">
        <v>13</v>
      </c>
    </row>
    <row r="26" ht="23.25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3.25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3.25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3.25" customHeight="1">
      <c r="A54">
        <v>42</v>
      </c>
    </row>
    <row r="55" ht="23.25" customHeight="1">
      <c r="A55">
        <v>43</v>
      </c>
    </row>
    <row r="56" ht="23.25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3.25" customHeight="1">
      <c r="A59">
        <v>47</v>
      </c>
    </row>
    <row r="60" ht="23.25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3.25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 s="1">
        <v>0</v>
      </c>
    </row>
    <row r="75" ht="23.25" customHeight="1">
      <c r="C75" s="5" t="str">
        <v xml:space="preserve">Total Feed Ordered </v>
      </c>
      <c r="E75" s="1">
        <v>138000</v>
      </c>
      <c r="G75">
        <v>0</v>
      </c>
    </row>
    <row r="76" ht="23.25" customHeight="1"/>
    <row r="77" ht="23.25" customHeight="1">
      <c r="D77" s="3">
        <v>1.725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4.25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6.13"/>
    <col min="15" max="15" customWidth="1" width="11"/>
    <col min="16" max="16" customWidth="1" width="8.38"/>
    <col min="17" max="17" customWidth="1" width="9.38"/>
    <col min="18" max="18" customWidth="1" width="17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5 &amp; 6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5</v>
      </c>
    </row>
    <row r="4" ht="19.5" customHeight="1">
      <c r="B4" t="str">
        <v>SHED 5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6</v>
      </c>
    </row>
    <row r="5" ht="18.75" customHeight="1">
      <c r="B5" t="str">
        <v>SHED 6</v>
      </c>
      <c r="C5">
        <v>0</v>
      </c>
      <c r="G5" t="str">
        <v>WDW ALL.</v>
      </c>
      <c r="H5">
        <v>0</v>
      </c>
      <c r="I5" t="str">
        <v>KG.</v>
      </c>
    </row>
    <row r="6" ht="44.25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SILOST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3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4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3.25" customHeight="1">
      <c r="A24">
        <v>12</v>
      </c>
    </row>
    <row r="25" ht="23.25" customHeight="1">
      <c r="A25">
        <v>13</v>
      </c>
    </row>
    <row r="26" ht="23.25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3.25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3.25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2.5" customHeight="1">
      <c r="A54">
        <v>42</v>
      </c>
    </row>
    <row r="55" ht="23.25" customHeight="1">
      <c r="A55">
        <v>43</v>
      </c>
    </row>
    <row r="56" ht="23.25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3.25" customHeight="1">
      <c r="A59">
        <v>47</v>
      </c>
    </row>
    <row r="60" ht="23.25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3.25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 s="1">
        <v>0</v>
      </c>
    </row>
    <row r="75" ht="23.25" customHeight="1">
      <c r="C75" s="5" t="str">
        <v xml:space="preserve">Total Feed Ordered </v>
      </c>
      <c r="E75" s="1">
        <v>138000</v>
      </c>
      <c r="G75">
        <v>0</v>
      </c>
    </row>
    <row r="76" ht="23.25" customHeight="1"/>
    <row r="77" ht="23.25" customHeight="1">
      <c r="D77" s="3">
        <v>1.725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4.25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5.13"/>
    <col min="15" max="15" customWidth="1" width="14.75"/>
    <col min="16" max="16" customWidth="1" width="8.38"/>
    <col min="17" max="17" customWidth="1" width="9.38"/>
    <col min="18" max="18" customWidth="1" width="17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7 &amp; 8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7</v>
      </c>
    </row>
    <row r="4" ht="19.5" customHeight="1">
      <c r="B4" t="str">
        <v>SHED 7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8</v>
      </c>
    </row>
    <row r="5" ht="18.75" customHeight="1">
      <c r="B5" t="str">
        <v>SHED 8</v>
      </c>
      <c r="C5">
        <v>0</v>
      </c>
      <c r="G5" t="str">
        <v>WDW ALL.</v>
      </c>
      <c r="H5">
        <v>0</v>
      </c>
      <c r="I5" t="str">
        <v>KG.</v>
      </c>
    </row>
    <row r="6" ht="52.5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3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3.25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3.25" customHeight="1">
      <c r="A24">
        <v>12</v>
      </c>
    </row>
    <row r="25" ht="23.25" customHeight="1">
      <c r="A25">
        <v>13</v>
      </c>
    </row>
    <row r="26" ht="23.25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3.25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3.25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0.25" customHeight="1">
      <c r="A54">
        <v>42</v>
      </c>
    </row>
    <row r="55" ht="23.25" customHeight="1">
      <c r="A55">
        <v>43</v>
      </c>
    </row>
    <row r="56" ht="21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3.25" customHeight="1">
      <c r="A59">
        <v>47</v>
      </c>
    </row>
    <row r="60" ht="24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3.25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>
        <v>0</v>
      </c>
    </row>
    <row r="75" ht="23.25" customHeight="1">
      <c r="C75" s="5" t="str">
        <v xml:space="preserve">Total Feed Ordered </v>
      </c>
      <c r="E75" s="1">
        <v>143000</v>
      </c>
      <c r="G75">
        <v>0</v>
      </c>
    </row>
    <row r="76" ht="23.25" customHeight="1"/>
    <row r="77" ht="23.25" customHeight="1">
      <c r="D77" s="3">
        <v>1.51671033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6.63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7.25"/>
    <col min="15" max="15" customWidth="1" width="16.13"/>
    <col min="16" max="16" customWidth="1" width="8.38"/>
    <col min="17" max="17" customWidth="1" width="9.38"/>
    <col min="18" max="18" customWidth="1" width="17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9 &amp; 10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9</v>
      </c>
    </row>
    <row r="4" ht="19.5" customHeight="1">
      <c r="B4" t="str">
        <v>SHED 9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10</v>
      </c>
    </row>
    <row r="5" ht="18.75" customHeight="1">
      <c r="B5" t="str">
        <v>SHED 10</v>
      </c>
      <c r="C5">
        <v>0</v>
      </c>
      <c r="G5" t="str">
        <v>WDW ALL.</v>
      </c>
      <c r="H5">
        <v>0</v>
      </c>
      <c r="I5" t="str">
        <v>KG.</v>
      </c>
    </row>
    <row r="6" ht="38.25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3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3.25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3.25" customHeight="1">
      <c r="A24">
        <v>12</v>
      </c>
    </row>
    <row r="25" ht="23.25" customHeight="1">
      <c r="A25">
        <v>13</v>
      </c>
    </row>
    <row r="26" ht="23.25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3.25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3.25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3.25" customHeight="1">
      <c r="A54">
        <v>42</v>
      </c>
    </row>
    <row r="55" ht="23.25" customHeight="1">
      <c r="A55">
        <v>43</v>
      </c>
    </row>
    <row r="56" ht="23.25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3.25" customHeight="1">
      <c r="A59">
        <v>47</v>
      </c>
    </row>
    <row r="60" ht="23.25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3.25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>
        <v>0</v>
      </c>
    </row>
    <row r="75" ht="23.25" customHeight="1">
      <c r="C75" s="5" t="str">
        <v xml:space="preserve">Total Feed Ordered </v>
      </c>
      <c r="E75" s="1">
        <v>131000</v>
      </c>
      <c r="G75">
        <v>0</v>
      </c>
    </row>
    <row r="76" ht="23.25" customHeight="1"/>
    <row r="77" ht="23.25" customHeight="1">
      <c r="D77" s="3">
        <v>2.841340419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00"/>
  <sheetViews>
    <sheetView workbookViewId="0"/>
  </sheetViews>
  <cols>
    <col min="1" max="1" customWidth="1" width="5.63"/>
    <col min="2" max="2" customWidth="1" width="16.63"/>
    <col min="3" max="3" customWidth="1" width="38.38"/>
    <col min="4" max="4" customWidth="1" width="14.63"/>
    <col min="5" max="5" customWidth="1" width="17.75"/>
    <col min="6" max="6" customWidth="1" width="10.13"/>
    <col min="7" max="7" customWidth="1" width="14.63"/>
    <col min="8" max="8" customWidth="1" width="14.63"/>
    <col min="9" max="9" customWidth="1" width="14.25"/>
    <col min="10" max="10" customWidth="1" width="12.38"/>
    <col min="11" max="11" customWidth="1" width="11.63"/>
    <col min="12" max="12" customWidth="1" width="12.13"/>
    <col min="13" max="13" customWidth="1" width="11.38"/>
    <col min="14" max="14" customWidth="1" width="16"/>
    <col min="15" max="15" customWidth="1" width="13.63"/>
    <col min="16" max="16" customWidth="1" width="8.38"/>
    <col min="17" max="17" customWidth="1" width="9.38"/>
    <col min="18" max="18" customWidth="1" width="17"/>
    <col min="19" max="19" customWidth="1" width="15.38"/>
    <col min="20" max="20" customWidth="1" width="12.75"/>
    <col min="21" max="21" customWidth="1" width="15.38"/>
    <col min="22" max="22" customWidth="1" width="12.63"/>
    <col min="23" max="23" customWidth="1" width="11.63"/>
    <col min="24" max="24" customWidth="1" width="14.75"/>
    <col min="25" max="25" customWidth="1" width="14.75"/>
    <col min="26" max="26" customWidth="1" width="14.75"/>
    <col min="27" max="27" customWidth="1" width="14.75"/>
    <col min="28" max="28" customWidth="1" width="14.75"/>
    <col min="29" max="29" customWidth="1" width="14.75"/>
    <col min="30" max="30" customWidth="1" width="14.75"/>
    <col min="31" max="31" customWidth="1" width="14.75"/>
    <col min="32" max="32" customWidth="1" width="14.75"/>
    <col min="33" max="33" customWidth="1" width="14.75"/>
    <col min="34" max="34" customWidth="1" width="14.75"/>
    <col min="35" max="35" customWidth="1" width="14.75"/>
    <col min="36" max="36" customWidth="1" width="14.75"/>
    <col min="37" max="37" customWidth="1" width="14.75"/>
    <col min="38" max="38" customWidth="1" width="14.75"/>
    <col min="39" max="39" customWidth="1" width="14.75"/>
    <col min="40" max="40" customWidth="1" width="14.75"/>
  </cols>
  <sheetData>
    <row r="1" ht="23.25" customHeight="1">
      <c r="A1" t="str">
        <v>GROWER  :</v>
      </c>
      <c r="C1" t="str">
        <v>DOUBLE B</v>
      </c>
      <c r="E1" t="str">
        <v>SHED</v>
      </c>
      <c r="G1" t="str">
        <v>11 &amp; 12</v>
      </c>
    </row>
    <row r="2" ht="21" customHeight="1">
      <c r="A2" t="str">
        <v>NO. OF BIRDS</v>
      </c>
      <c r="C2">
        <v>0</v>
      </c>
      <c r="G2" t="str">
        <v xml:space="preserve">STR ALL.          </v>
      </c>
      <c r="H2">
        <v>0</v>
      </c>
      <c r="I2" t="str">
        <v>KG.</v>
      </c>
    </row>
    <row r="3" ht="21.75" customHeight="1">
      <c r="A3" t="str">
        <v xml:space="preserve">PLACEMENT </v>
      </c>
      <c r="C3" t="str">
        <v/>
      </c>
      <c r="G3" t="str">
        <v>GWR ALL.</v>
      </c>
      <c r="H3">
        <v>0</v>
      </c>
      <c r="I3" t="str">
        <v>KG.</v>
      </c>
      <c r="N3" t="str">
        <v>SHED 11</v>
      </c>
    </row>
    <row r="4" ht="19.5" customHeight="1">
      <c r="B4" t="str">
        <v>SHED 11</v>
      </c>
      <c r="C4">
        <v>0</v>
      </c>
      <c r="G4" t="str">
        <v>FIN ALL.</v>
      </c>
      <c r="H4">
        <v>0</v>
      </c>
      <c r="I4" t="str">
        <v>KG.</v>
      </c>
      <c r="J4" s="1" t="str">
        <v>WDW ALL C 10</v>
      </c>
      <c r="N4" t="str">
        <v>SHED 12</v>
      </c>
    </row>
    <row r="5" ht="19.5" customHeight="1">
      <c r="B5" t="str">
        <v>SHED 12</v>
      </c>
      <c r="C5">
        <v>0</v>
      </c>
      <c r="G5" t="str">
        <v>WDW ALL.</v>
      </c>
      <c r="H5">
        <v>0</v>
      </c>
      <c r="I5" t="str">
        <v>KG.</v>
      </c>
    </row>
    <row r="6" ht="48" customHeight="1">
      <c r="R6" s="1" t="str">
        <v>OVERALL</v>
      </c>
      <c r="S6" t="str">
        <v>% WGHT</v>
      </c>
      <c r="U6" t="str">
        <v>% WGHT</v>
      </c>
    </row>
    <row r="7" ht="23.25" customHeight="1">
      <c r="D7" t="str">
        <v>TOTAL</v>
      </c>
      <c r="Q7" t="str">
        <v>FEED</v>
      </c>
      <c r="R7" s="1" t="str">
        <v>FEED</v>
      </c>
      <c r="S7" t="str">
        <v>MIXED</v>
      </c>
      <c r="U7" s="1" t="str">
        <v>MIXED</v>
      </c>
    </row>
    <row r="8" ht="23.25" customHeight="1">
      <c r="A8" t="str">
        <v>AGE</v>
      </c>
      <c r="B8" t="str">
        <v>DAY</v>
      </c>
      <c r="C8" t="str">
        <v>DATE</v>
      </c>
      <c r="D8" t="str">
        <v>FEED</v>
      </c>
      <c r="E8" t="str">
        <v xml:space="preserve">FEED </v>
      </c>
      <c r="G8" t="str">
        <v>FEED</v>
      </c>
      <c r="H8" t="str">
        <v>FEED</v>
      </c>
      <c r="I8" t="str">
        <v>FEED</v>
      </c>
      <c r="J8" t="str">
        <v>SILO</v>
      </c>
      <c r="K8" t="str">
        <v>SILO</v>
      </c>
      <c r="L8" t="str">
        <v>SILO</v>
      </c>
      <c r="M8" t="str">
        <v>SILO</v>
      </c>
      <c r="N8" t="str">
        <v>CATCH</v>
      </c>
      <c r="O8" t="str">
        <v>BIRDS</v>
      </c>
      <c r="P8" s="1" t="str">
        <v>SHED</v>
      </c>
      <c r="Q8" s="1" t="str">
        <v>DIFF</v>
      </c>
      <c r="R8" s="1" t="str">
        <v>DISCREPANCY</v>
      </c>
      <c r="S8" t="str">
        <v>SHED 1</v>
      </c>
      <c r="T8" s="3" t="str">
        <v>Weight(Kg)</v>
      </c>
      <c r="U8" s="1" t="str">
        <v>SHED 2</v>
      </c>
      <c r="V8" s="3" t="str">
        <v>Weight(Kg)</v>
      </c>
    </row>
    <row r="9" ht="21" customHeight="1">
      <c r="C9" s="4">
        <v>43297</v>
      </c>
      <c r="D9" t="str">
        <v>DEL.</v>
      </c>
      <c r="E9" t="str">
        <v>ORDERED</v>
      </c>
      <c r="F9" t="str">
        <v>SILO</v>
      </c>
      <c r="G9" t="str">
        <v>ALLOC.</v>
      </c>
      <c r="H9" t="str">
        <v>USAGE</v>
      </c>
      <c r="I9" t="str">
        <v>ON HAND</v>
      </c>
      <c r="J9" t="str">
        <v>TOTAL</v>
      </c>
      <c r="K9" t="str">
        <v>A</v>
      </c>
      <c r="L9" t="str">
        <v>B</v>
      </c>
      <c r="M9" t="str">
        <v>C</v>
      </c>
      <c r="N9" s="1" t="str">
        <v>MORTS</v>
      </c>
      <c r="O9" s="1" t="str">
        <v>LEFT</v>
      </c>
      <c r="P9" s="1" t="str">
        <v>#</v>
      </c>
      <c r="W9" t="str">
        <v>AGE</v>
      </c>
    </row>
    <row r="10" hidden="1" ht="15" customHeight="1"/>
    <row r="11" ht="23.25" customHeight="1"/>
    <row r="12" ht="23.25" customHeight="1">
      <c r="G12" s="1">
        <v>0</v>
      </c>
      <c r="H12">
        <v>0</v>
      </c>
      <c r="I12" s="1">
        <v>0</v>
      </c>
      <c r="J12">
        <v>0</v>
      </c>
    </row>
    <row r="13" ht="23.25" customHeight="1">
      <c r="A13">
        <v>1</v>
      </c>
    </row>
    <row r="14" ht="23.25" customHeight="1">
      <c r="A14">
        <v>2</v>
      </c>
    </row>
    <row r="15" ht="23.25" customHeight="1">
      <c r="A15">
        <v>3</v>
      </c>
    </row>
    <row r="16" ht="23.25" customHeight="1">
      <c r="A16">
        <v>4</v>
      </c>
    </row>
    <row r="17" ht="23.25" customHeight="1">
      <c r="A17">
        <v>5</v>
      </c>
    </row>
    <row r="18" ht="23.25" customHeight="1">
      <c r="A18">
        <v>6</v>
      </c>
    </row>
    <row r="19" ht="23.25" customHeight="1">
      <c r="A19">
        <v>7</v>
      </c>
    </row>
    <row r="20" ht="23.25" customHeight="1">
      <c r="A20">
        <v>8</v>
      </c>
    </row>
    <row r="21" ht="23.25" customHeight="1">
      <c r="A21">
        <v>9</v>
      </c>
    </row>
    <row r="22" ht="23.25" customHeight="1">
      <c r="A22">
        <v>10</v>
      </c>
    </row>
    <row r="23" ht="23.25" customHeight="1">
      <c r="A23">
        <v>11</v>
      </c>
    </row>
    <row r="24" ht="23.25" customHeight="1">
      <c r="A24">
        <v>12</v>
      </c>
    </row>
    <row r="25" ht="23.25" customHeight="1">
      <c r="A25">
        <v>13</v>
      </c>
    </row>
    <row r="26" ht="23.25" customHeight="1">
      <c r="A26">
        <v>14</v>
      </c>
    </row>
    <row r="27" ht="23.25" customHeight="1">
      <c r="A27">
        <v>15</v>
      </c>
    </row>
    <row r="28" ht="23.25" customHeight="1">
      <c r="A28">
        <v>16</v>
      </c>
    </row>
    <row r="29" ht="23.25" customHeight="1">
      <c r="A29">
        <v>17</v>
      </c>
    </row>
    <row r="30" ht="23.25" customHeight="1">
      <c r="A30">
        <v>18</v>
      </c>
    </row>
    <row r="31" ht="23.25" customHeight="1">
      <c r="A31">
        <v>19</v>
      </c>
    </row>
    <row r="32" ht="23.25" customHeight="1">
      <c r="A32">
        <v>20</v>
      </c>
    </row>
    <row r="33" ht="23.25" customHeight="1">
      <c r="A33">
        <v>21</v>
      </c>
    </row>
    <row r="34" ht="23.25" customHeight="1">
      <c r="A34">
        <v>22</v>
      </c>
    </row>
    <row r="35" ht="23.25" customHeight="1">
      <c r="A35">
        <v>23</v>
      </c>
    </row>
    <row r="36" ht="23.25" customHeight="1">
      <c r="A36">
        <v>24</v>
      </c>
    </row>
    <row r="37" ht="23.25" customHeight="1">
      <c r="A37">
        <v>25</v>
      </c>
    </row>
    <row r="38" ht="23.25" customHeight="1">
      <c r="A38">
        <v>26</v>
      </c>
    </row>
    <row r="39" ht="23.25" customHeight="1">
      <c r="A39">
        <v>27</v>
      </c>
    </row>
    <row r="40" ht="23.25" customHeight="1">
      <c r="A40">
        <v>28</v>
      </c>
    </row>
    <row r="41" ht="23.25" customHeight="1">
      <c r="A41">
        <v>29</v>
      </c>
    </row>
    <row r="42" ht="23.25" customHeight="1">
      <c r="A42">
        <v>30</v>
      </c>
    </row>
    <row r="43" ht="23.25" customHeight="1">
      <c r="A43">
        <v>31</v>
      </c>
    </row>
    <row r="44" ht="24" customHeight="1">
      <c r="A44">
        <v>32</v>
      </c>
    </row>
    <row r="45" ht="23.25" customHeight="1">
      <c r="A45">
        <v>33</v>
      </c>
    </row>
    <row r="46" ht="23.25" customHeight="1">
      <c r="A46">
        <v>34</v>
      </c>
    </row>
    <row r="47" ht="23.25" customHeight="1">
      <c r="A47">
        <v>35</v>
      </c>
    </row>
    <row r="48" ht="23.25" customHeight="1">
      <c r="A48">
        <v>36</v>
      </c>
    </row>
    <row r="49" ht="23.25" customHeight="1">
      <c r="A49">
        <v>37</v>
      </c>
    </row>
    <row r="50" ht="23.25" customHeight="1">
      <c r="A50">
        <v>38</v>
      </c>
    </row>
    <row r="51" ht="23.25" customHeight="1">
      <c r="A51">
        <v>39</v>
      </c>
    </row>
    <row r="52" ht="23.25" customHeight="1">
      <c r="A52">
        <v>40</v>
      </c>
    </row>
    <row r="53" ht="23.25" customHeight="1">
      <c r="A53">
        <v>41</v>
      </c>
    </row>
    <row r="54" ht="23.25" customHeight="1">
      <c r="A54">
        <v>42</v>
      </c>
    </row>
    <row r="55" ht="23.25" customHeight="1">
      <c r="A55">
        <v>43</v>
      </c>
    </row>
    <row r="56" ht="23.25" customHeight="1">
      <c r="A56">
        <v>44</v>
      </c>
    </row>
    <row r="57" ht="23.25" customHeight="1">
      <c r="A57">
        <v>45</v>
      </c>
    </row>
    <row r="58" ht="23.25" customHeight="1">
      <c r="A58">
        <v>46</v>
      </c>
    </row>
    <row r="59" ht="23.25" customHeight="1">
      <c r="A59">
        <v>47</v>
      </c>
    </row>
    <row r="60" ht="23.25" customHeight="1">
      <c r="A60">
        <v>48</v>
      </c>
    </row>
    <row r="61" ht="23.25" customHeight="1">
      <c r="A61">
        <v>49</v>
      </c>
    </row>
    <row r="62" ht="23.25" customHeight="1">
      <c r="A62">
        <v>50</v>
      </c>
    </row>
    <row r="63" ht="23.25" customHeight="1">
      <c r="A63">
        <v>51</v>
      </c>
    </row>
    <row r="64" ht="23.25" customHeight="1">
      <c r="A64">
        <v>52</v>
      </c>
    </row>
    <row r="65" ht="23.25" customHeight="1">
      <c r="A65">
        <v>53</v>
      </c>
    </row>
    <row r="66" ht="23.25" customHeight="1">
      <c r="A66">
        <v>54</v>
      </c>
    </row>
    <row r="67" ht="21" customHeight="1">
      <c r="A67">
        <v>55</v>
      </c>
    </row>
    <row r="68" ht="23.25" customHeight="1">
      <c r="A68">
        <v>56</v>
      </c>
    </row>
    <row r="69" ht="23.25" customHeight="1">
      <c r="A69">
        <v>57</v>
      </c>
    </row>
    <row r="70" ht="23.25" customHeight="1">
      <c r="A70">
        <v>58</v>
      </c>
    </row>
    <row r="71" ht="23.25" customHeight="1">
      <c r="A71">
        <v>59</v>
      </c>
    </row>
    <row r="72" ht="23.25" customHeight="1">
      <c r="A72">
        <v>60</v>
      </c>
    </row>
    <row r="73" ht="23.25" customHeight="1">
      <c r="K73" t="str">
        <v>Total Morts</v>
      </c>
      <c r="N73" s="1" t="str">
        <v/>
      </c>
    </row>
    <row r="74" ht="23.25" customHeight="1">
      <c r="K74" t="str">
        <v>Total Birds Caught</v>
      </c>
      <c r="N74">
        <v>0</v>
      </c>
    </row>
    <row r="75" ht="23.25" customHeight="1">
      <c r="C75" s="5" t="str">
        <v xml:space="preserve">Total Feed Ordered </v>
      </c>
      <c r="E75" s="1">
        <v>131000</v>
      </c>
      <c r="G75">
        <v>0</v>
      </c>
    </row>
    <row r="76" ht="23.25" customHeight="1"/>
    <row r="77" ht="23.25" customHeight="1">
      <c r="D77" s="3">
        <v>1.323232323</v>
      </c>
      <c r="E77" t="str">
        <v>KG/BIRD</v>
      </c>
    </row>
    <row r="78" ht="23.25" customHeight="1">
      <c r="O78" s="1">
        <v>0</v>
      </c>
    </row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  <row r="188" ht="23.25" customHeight="1"/>
    <row r="189" ht="23.25" customHeight="1"/>
    <row r="190" ht="23.25" customHeight="1"/>
    <row r="191" ht="23.25" customHeight="1"/>
    <row r="192" ht="23.25" customHeight="1"/>
    <row r="193" ht="23.25" customHeight="1"/>
    <row r="194" ht="23.25" customHeight="1"/>
    <row r="195" ht="23.25" customHeight="1"/>
    <row r="196" ht="23.25" customHeight="1"/>
    <row r="197" ht="23.25" customHeight="1"/>
    <row r="198" ht="23.25" customHeight="1"/>
    <row r="199" ht="23.25" customHeight="1"/>
    <row r="200" ht="23.25" customHeight="1"/>
    <row r="201" ht="23.25" customHeight="1"/>
    <row r="202" ht="23.25" customHeight="1"/>
    <row r="203" ht="23.25" customHeight="1"/>
    <row r="204" ht="23.25" customHeight="1"/>
    <row r="205" ht="23.25" customHeight="1"/>
    <row r="206" ht="23.25" customHeight="1"/>
    <row r="207" ht="23.25" customHeight="1"/>
    <row r="208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  <row r="238" ht="23.25" customHeight="1"/>
    <row r="239" ht="23.25" customHeight="1"/>
    <row r="240" ht="23.25" customHeight="1"/>
    <row r="241" ht="23.25" customHeight="1"/>
    <row r="242" ht="23.25" customHeight="1"/>
    <row r="243" ht="23.25" customHeight="1"/>
    <row r="244" ht="23.25" customHeight="1"/>
    <row r="245" ht="23.25" customHeight="1"/>
    <row r="246" ht="23.25" customHeight="1"/>
    <row r="247" ht="23.25" customHeight="1"/>
    <row r="248" ht="23.25" customHeight="1"/>
    <row r="249" ht="23.25" customHeight="1"/>
    <row r="250" ht="23.25" customHeight="1"/>
    <row r="251" ht="23.25" customHeight="1"/>
    <row r="252" ht="23.25" customHeight="1"/>
    <row r="253" ht="23.25" customHeight="1"/>
    <row r="254" ht="23.25" customHeight="1"/>
    <row r="255" ht="23.25" customHeight="1"/>
    <row r="256" ht="23.25" customHeight="1"/>
    <row r="257" ht="23.25" customHeight="1"/>
    <row r="258" ht="23.25" customHeight="1"/>
    <row r="259" ht="23.25" customHeight="1"/>
    <row r="260" ht="23.25" customHeight="1"/>
    <row r="261" ht="23.25" customHeight="1"/>
    <row r="262" ht="23.25" customHeight="1"/>
    <row r="263" ht="23.25" customHeight="1"/>
    <row r="264" ht="23.25" customHeight="1"/>
    <row r="265" ht="23.25" customHeight="1"/>
    <row r="266" ht="23.25" customHeight="1"/>
    <row r="267" ht="23.25" customHeight="1"/>
    <row r="268" ht="23.25" customHeight="1"/>
    <row r="269" ht="23.25" customHeight="1"/>
    <row r="270" ht="23.25" customHeight="1"/>
    <row r="271" ht="23.25" customHeight="1"/>
    <row r="272" ht="23.25" customHeight="1"/>
    <row r="273" ht="23.25" customHeight="1"/>
    <row r="274" ht="23.25" customHeight="1"/>
    <row r="275" ht="23.25" customHeight="1"/>
    <row r="276" ht="23.25" customHeight="1"/>
    <row r="277" ht="23.25" customHeight="1"/>
    <row r="278" ht="23.25" customHeight="1"/>
    <row r="279" ht="23.25" customHeight="1"/>
    <row r="280" ht="23.25" customHeight="1"/>
    <row r="281" ht="23.25" customHeight="1"/>
    <row r="282" ht="23.25" customHeight="1"/>
    <row r="283" ht="23.25" customHeight="1"/>
    <row r="284" ht="23.25" customHeight="1"/>
    <row r="285" ht="23.25" customHeight="1"/>
    <row r="286" ht="23.25" customHeight="1"/>
    <row r="287" ht="23.25" customHeight="1"/>
    <row r="288" ht="23.25" customHeight="1"/>
    <row r="289" ht="23.25" customHeight="1"/>
    <row r="290" ht="23.25" customHeight="1"/>
    <row r="291" ht="23.25" customHeight="1"/>
    <row r="292" ht="23.25" customHeight="1"/>
    <row r="293" ht="23.25" customHeight="1"/>
    <row r="294" ht="23.25" customHeight="1"/>
    <row r="295" ht="23.25" customHeight="1"/>
    <row r="296" ht="23.25" customHeight="1"/>
    <row r="297" ht="23.25" customHeight="1"/>
    <row r="298" ht="23.25" customHeight="1"/>
    <row r="299" ht="23.25" customHeight="1"/>
    <row r="300" ht="23.25" customHeight="1"/>
    <row r="301" ht="23.25" customHeight="1"/>
    <row r="302" ht="23.25" customHeight="1"/>
    <row r="303" ht="23.25" customHeight="1"/>
    <row r="304" ht="23.25" customHeight="1"/>
    <row r="305" ht="23.25" customHeight="1"/>
    <row r="306" ht="23.25" customHeight="1"/>
    <row r="307" ht="23.25" customHeight="1"/>
    <row r="308" ht="23.25" customHeight="1"/>
    <row r="309" ht="23.25" customHeight="1"/>
    <row r="310" ht="23.25" customHeight="1"/>
    <row r="311" ht="23.25" customHeight="1"/>
    <row r="312" ht="23.25" customHeight="1"/>
    <row r="313" ht="23.25" customHeight="1"/>
    <row r="314" ht="23.25" customHeight="1"/>
    <row r="315" ht="23.25" customHeight="1"/>
    <row r="316" ht="23.25" customHeight="1"/>
    <row r="317" ht="23.25" customHeight="1"/>
    <row r="318" ht="23.25" customHeight="1"/>
    <row r="319" ht="23.25" customHeight="1"/>
    <row r="320" ht="23.25" customHeight="1"/>
    <row r="321" ht="23.25" customHeight="1"/>
    <row r="322" ht="23.25" customHeight="1"/>
    <row r="323" ht="23.25" customHeight="1"/>
    <row r="324" ht="23.25" customHeight="1"/>
    <row r="325" ht="23.25" customHeight="1"/>
    <row r="326" ht="23.25" customHeight="1"/>
    <row r="327" ht="23.25" customHeight="1"/>
    <row r="328" ht="23.25" customHeight="1"/>
    <row r="329" ht="23.25" customHeight="1"/>
    <row r="330" ht="23.25" customHeight="1"/>
    <row r="331" ht="23.25" customHeight="1"/>
    <row r="332" ht="23.25" customHeight="1"/>
    <row r="333" ht="23.25" customHeight="1"/>
    <row r="334" ht="23.25" customHeight="1"/>
    <row r="335" ht="23.25" customHeight="1"/>
    <row r="336" ht="23.25" customHeight="1"/>
    <row r="337" ht="23.25" customHeight="1"/>
    <row r="338" ht="23.25" customHeight="1"/>
    <row r="339" ht="23.25" customHeight="1"/>
    <row r="340" ht="23.25" customHeight="1"/>
    <row r="341" ht="23.25" customHeight="1"/>
    <row r="342" ht="23.25" customHeight="1"/>
    <row r="343" ht="23.25" customHeight="1"/>
    <row r="344" ht="23.25" customHeight="1"/>
    <row r="345" ht="23.25" customHeight="1"/>
    <row r="346" ht="23.25" customHeight="1"/>
    <row r="347" ht="23.25" customHeight="1"/>
    <row r="348" ht="23.25" customHeight="1"/>
    <row r="349" ht="23.25" customHeight="1"/>
    <row r="350" ht="23.25" customHeight="1"/>
    <row r="351" ht="23.25" customHeight="1"/>
    <row r="352" ht="23.25" customHeight="1"/>
    <row r="353" ht="23.25" customHeight="1"/>
    <row r="354" ht="23.25" customHeight="1"/>
    <row r="355" ht="23.25" customHeight="1"/>
    <row r="356" ht="23.25" customHeight="1"/>
    <row r="357" ht="23.25" customHeight="1"/>
    <row r="358" ht="23.25" customHeight="1"/>
    <row r="359" ht="23.25" customHeight="1"/>
    <row r="360" ht="23.25" customHeight="1"/>
    <row r="361" ht="23.25" customHeight="1"/>
    <row r="362" ht="23.25" customHeight="1"/>
    <row r="363" ht="23.25" customHeight="1"/>
    <row r="364" ht="23.25" customHeight="1"/>
    <row r="365" ht="23.25" customHeight="1"/>
    <row r="366" ht="23.25" customHeight="1"/>
    <row r="367" ht="23.25" customHeight="1"/>
    <row r="368" ht="23.25" customHeight="1"/>
    <row r="369" ht="23.25" customHeight="1"/>
    <row r="370" ht="23.25" customHeight="1"/>
    <row r="371" ht="23.25" customHeight="1"/>
    <row r="372" ht="23.25" customHeight="1"/>
    <row r="373" ht="23.25" customHeight="1"/>
    <row r="374" ht="23.25" customHeight="1"/>
    <row r="375" ht="23.25" customHeight="1"/>
    <row r="376" ht="23.25" customHeight="1"/>
    <row r="377" ht="23.25" customHeight="1"/>
    <row r="378" ht="23.25" customHeight="1"/>
    <row r="379" ht="23.25" customHeight="1"/>
    <row r="380" ht="23.25" customHeight="1"/>
    <row r="381" ht="23.25" customHeight="1"/>
    <row r="382" ht="23.25" customHeight="1"/>
    <row r="383" ht="23.25" customHeight="1"/>
    <row r="384" ht="23.25" customHeight="1"/>
    <row r="385" ht="23.25" customHeight="1"/>
    <row r="386" ht="23.25" customHeight="1"/>
    <row r="387" ht="23.25" customHeight="1"/>
    <row r="388" ht="23.25" customHeight="1"/>
    <row r="389" ht="23.25" customHeight="1"/>
    <row r="390" ht="23.25" customHeight="1"/>
    <row r="391" ht="23.25" customHeight="1"/>
    <row r="392" ht="23.25" customHeight="1"/>
    <row r="393" ht="23.25" customHeight="1"/>
    <row r="394" ht="23.25" customHeight="1"/>
    <row r="395" ht="23.25" customHeight="1"/>
    <row r="396" ht="23.25" customHeight="1"/>
    <row r="397" ht="23.25" customHeight="1"/>
    <row r="398" ht="23.25" customHeight="1"/>
    <row r="399" ht="23.25" customHeight="1"/>
    <row r="400" ht="23.25" customHeight="1"/>
    <row r="401" ht="23.25" customHeight="1"/>
    <row r="402" ht="23.25" customHeight="1"/>
    <row r="403" ht="23.25" customHeight="1"/>
    <row r="404" ht="23.25" customHeight="1"/>
    <row r="405" ht="23.25" customHeight="1"/>
    <row r="406" ht="23.25" customHeight="1"/>
    <row r="407" ht="23.25" customHeight="1"/>
    <row r="408" ht="23.25" customHeight="1"/>
    <row r="409" ht="23.25" customHeight="1"/>
    <row r="410" ht="23.25" customHeight="1"/>
    <row r="411" ht="23.25" customHeight="1"/>
    <row r="412" ht="23.25" customHeight="1"/>
    <row r="413" ht="23.25" customHeight="1"/>
    <row r="414" ht="23.25" customHeight="1"/>
    <row r="415" ht="23.25" customHeight="1"/>
    <row r="416" ht="23.25" customHeight="1"/>
    <row r="417" ht="23.25" customHeight="1"/>
    <row r="418" ht="23.25" customHeight="1"/>
    <row r="419" ht="23.25" customHeight="1"/>
    <row r="420" ht="23.25" customHeight="1"/>
    <row r="421" ht="23.25" customHeight="1"/>
    <row r="422" ht="23.25" customHeight="1"/>
    <row r="423" ht="23.25" customHeight="1"/>
    <row r="424" ht="23.25" customHeight="1"/>
    <row r="425" ht="23.25" customHeight="1"/>
    <row r="426" ht="23.25" customHeight="1"/>
    <row r="427" ht="23.25" customHeight="1"/>
    <row r="428" ht="23.25" customHeight="1"/>
    <row r="429" ht="23.25" customHeight="1"/>
    <row r="430" ht="23.25" customHeight="1"/>
    <row r="431" ht="23.25" customHeight="1"/>
    <row r="432" ht="23.25" customHeight="1"/>
    <row r="433" ht="23.25" customHeight="1"/>
    <row r="434" ht="23.25" customHeight="1"/>
    <row r="435" ht="23.25" customHeight="1"/>
    <row r="436" ht="23.25" customHeight="1"/>
    <row r="437" ht="23.25" customHeight="1"/>
    <row r="438" ht="23.25" customHeight="1"/>
    <row r="439" ht="23.25" customHeight="1"/>
    <row r="440" ht="23.25" customHeight="1"/>
    <row r="441" ht="23.25" customHeight="1"/>
    <row r="442" ht="23.25" customHeight="1"/>
    <row r="443" ht="23.25" customHeight="1"/>
    <row r="444" ht="23.25" customHeight="1"/>
    <row r="445" ht="23.25" customHeight="1"/>
    <row r="446" ht="23.25" customHeight="1"/>
    <row r="447" ht="23.25" customHeight="1"/>
    <row r="448" ht="23.25" customHeight="1"/>
    <row r="449" ht="23.25" customHeight="1"/>
    <row r="450" ht="23.25" customHeight="1"/>
    <row r="451" ht="23.25" customHeight="1"/>
    <row r="452" ht="23.25" customHeight="1"/>
    <row r="453" ht="23.25" customHeight="1"/>
    <row r="454" ht="23.25" customHeight="1"/>
    <row r="455" ht="23.25" customHeight="1"/>
    <row r="456" ht="23.25" customHeight="1"/>
    <row r="457" ht="23.25" customHeight="1"/>
    <row r="458" ht="23.25" customHeight="1"/>
    <row r="459" ht="23.25" customHeight="1"/>
    <row r="460" ht="23.25" customHeight="1"/>
    <row r="461" ht="23.25" customHeight="1"/>
    <row r="462" ht="23.25" customHeight="1"/>
    <row r="463" ht="23.25" customHeight="1"/>
    <row r="464" ht="23.25" customHeight="1"/>
    <row r="465" ht="23.25" customHeight="1"/>
    <row r="466" ht="23.25" customHeight="1"/>
    <row r="467" ht="23.25" customHeight="1"/>
    <row r="468" ht="23.25" customHeight="1"/>
    <row r="469" ht="23.25" customHeight="1"/>
    <row r="470" ht="23.25" customHeight="1"/>
    <row r="471" ht="23.25" customHeight="1"/>
    <row r="472" ht="23.25" customHeight="1"/>
    <row r="473" ht="23.25" customHeight="1"/>
    <row r="474" ht="23.25" customHeight="1"/>
    <row r="475" ht="23.25" customHeight="1"/>
    <row r="476" ht="23.25" customHeight="1"/>
    <row r="477" ht="23.25" customHeight="1"/>
    <row r="478" ht="23.25" customHeight="1"/>
    <row r="479" ht="23.25" customHeight="1"/>
    <row r="480" ht="23.25" customHeight="1"/>
    <row r="481" ht="23.25" customHeight="1"/>
    <row r="482" ht="23.25" customHeight="1"/>
    <row r="483" ht="23.25" customHeight="1"/>
    <row r="484" ht="23.25" customHeight="1"/>
    <row r="485" ht="23.25" customHeight="1"/>
    <row r="486" ht="23.25" customHeight="1"/>
    <row r="487" ht="23.25" customHeight="1"/>
    <row r="488" ht="23.25" customHeight="1"/>
    <row r="489" ht="23.25" customHeight="1"/>
    <row r="490" ht="23.25" customHeight="1"/>
    <row r="491" ht="23.25" customHeight="1"/>
    <row r="492" ht="23.25" customHeight="1"/>
    <row r="493" ht="23.25" customHeight="1"/>
    <row r="494" ht="23.25" customHeight="1"/>
    <row r="495" ht="23.25" customHeight="1"/>
    <row r="496" ht="23.25" customHeight="1"/>
    <row r="497" ht="23.25" customHeight="1"/>
    <row r="498" ht="23.25" customHeight="1"/>
    <row r="499" ht="23.25" customHeight="1"/>
    <row r="500" ht="23.25" customHeight="1"/>
    <row r="501" ht="23.25" customHeight="1"/>
    <row r="502" ht="23.25" customHeight="1"/>
    <row r="503" ht="23.25" customHeight="1"/>
    <row r="504" ht="23.25" customHeight="1"/>
    <row r="505" ht="23.25" customHeight="1"/>
    <row r="506" ht="23.25" customHeight="1"/>
    <row r="507" ht="23.25" customHeight="1"/>
    <row r="508" ht="23.25" customHeight="1"/>
    <row r="509" ht="23.25" customHeight="1"/>
    <row r="510" ht="23.25" customHeight="1"/>
    <row r="511" ht="23.25" customHeight="1"/>
    <row r="512" ht="23.25" customHeight="1"/>
    <row r="513" ht="23.25" customHeight="1"/>
    <row r="514" ht="23.25" customHeight="1"/>
    <row r="515" ht="23.25" customHeight="1"/>
    <row r="516" ht="23.25" customHeight="1"/>
    <row r="517" ht="23.25" customHeight="1"/>
    <row r="518" ht="23.25" customHeight="1"/>
    <row r="519" ht="23.25" customHeight="1"/>
    <row r="520" ht="23.25" customHeight="1"/>
    <row r="521" ht="23.25" customHeight="1"/>
    <row r="522" ht="23.25" customHeight="1"/>
    <row r="523" ht="23.25" customHeight="1"/>
    <row r="524" ht="23.25" customHeight="1"/>
    <row r="525" ht="23.25" customHeight="1"/>
    <row r="526" ht="23.25" customHeight="1"/>
    <row r="527" ht="23.25" customHeight="1"/>
    <row r="528" ht="23.25" customHeight="1"/>
    <row r="529" ht="23.25" customHeight="1"/>
    <row r="530" ht="23.25" customHeight="1"/>
    <row r="531" ht="23.25" customHeight="1"/>
    <row r="532" ht="23.25" customHeight="1"/>
    <row r="533" ht="23.25" customHeight="1"/>
    <row r="534" ht="23.25" customHeight="1"/>
    <row r="535" ht="23.25" customHeight="1"/>
    <row r="536" ht="23.25" customHeight="1"/>
    <row r="537" ht="23.25" customHeight="1"/>
    <row r="538" ht="23.25" customHeight="1"/>
    <row r="539" ht="23.25" customHeight="1"/>
    <row r="540" ht="23.25" customHeight="1"/>
    <row r="541" ht="23.25" customHeight="1"/>
    <row r="542" ht="23.25" customHeight="1"/>
    <row r="543" ht="23.25" customHeight="1"/>
    <row r="544" ht="23.25" customHeight="1"/>
    <row r="545" ht="23.25" customHeight="1"/>
    <row r="546" ht="23.25" customHeight="1"/>
    <row r="547" ht="23.25" customHeight="1"/>
    <row r="548" ht="23.25" customHeight="1"/>
    <row r="549" ht="23.25" customHeight="1"/>
    <row r="550" ht="23.25" customHeight="1"/>
    <row r="551" ht="23.25" customHeight="1"/>
    <row r="552" ht="23.25" customHeight="1"/>
    <row r="553" ht="23.25" customHeight="1"/>
    <row r="554" ht="23.25" customHeight="1"/>
    <row r="555" ht="23.25" customHeight="1"/>
    <row r="556" ht="23.25" customHeight="1"/>
    <row r="557" ht="23.25" customHeight="1"/>
    <row r="558" ht="23.25" customHeight="1"/>
    <row r="559" ht="23.25" customHeight="1"/>
    <row r="560" ht="23.25" customHeight="1"/>
    <row r="561" ht="23.25" customHeight="1"/>
    <row r="562" ht="23.25" customHeight="1"/>
    <row r="563" ht="23.25" customHeight="1"/>
    <row r="564" ht="23.25" customHeight="1"/>
    <row r="565" ht="23.25" customHeight="1"/>
    <row r="566" ht="23.25" customHeight="1"/>
    <row r="567" ht="23.25" customHeight="1"/>
    <row r="568" ht="23.25" customHeight="1"/>
    <row r="569" ht="23.25" customHeight="1"/>
    <row r="570" ht="23.25" customHeight="1"/>
    <row r="571" ht="23.25" customHeight="1"/>
    <row r="572" ht="23.25" customHeight="1"/>
    <row r="573" ht="23.25" customHeight="1"/>
    <row r="574" ht="23.25" customHeight="1"/>
    <row r="575" ht="23.25" customHeight="1"/>
    <row r="576" ht="23.25" customHeight="1"/>
    <row r="577" ht="23.25" customHeight="1"/>
    <row r="578" ht="23.25" customHeight="1"/>
    <row r="579" ht="23.25" customHeight="1"/>
    <row r="580" ht="23.25" customHeight="1"/>
    <row r="581" ht="23.25" customHeight="1"/>
    <row r="582" ht="23.25" customHeight="1"/>
    <row r="583" ht="23.25" customHeight="1"/>
    <row r="584" ht="23.25" customHeight="1"/>
    <row r="585" ht="23.25" customHeight="1"/>
    <row r="586" ht="23.25" customHeight="1"/>
    <row r="587" ht="23.25" customHeight="1"/>
    <row r="588" ht="23.25" customHeight="1"/>
    <row r="589" ht="23.25" customHeight="1"/>
    <row r="590" ht="23.25" customHeight="1"/>
    <row r="591" ht="23.25" customHeight="1"/>
    <row r="592" ht="23.25" customHeight="1"/>
    <row r="593" ht="23.25" customHeight="1"/>
    <row r="594" ht="23.25" customHeight="1"/>
    <row r="595" ht="23.25" customHeight="1"/>
    <row r="596" ht="23.25" customHeight="1"/>
    <row r="597" ht="23.25" customHeight="1"/>
    <row r="598" ht="23.25" customHeight="1"/>
    <row r="599" ht="23.25" customHeight="1"/>
    <row r="600" ht="23.25" customHeight="1"/>
    <row r="601" ht="23.25" customHeight="1"/>
    <row r="602" ht="23.25" customHeight="1"/>
    <row r="603" ht="23.25" customHeight="1"/>
    <row r="604" ht="23.25" customHeight="1"/>
    <row r="605" ht="23.25" customHeight="1"/>
    <row r="606" ht="23.25" customHeight="1"/>
    <row r="607" ht="23.25" customHeight="1"/>
    <row r="608" ht="23.25" customHeight="1"/>
    <row r="609" ht="23.25" customHeight="1"/>
    <row r="610" ht="23.25" customHeight="1"/>
    <row r="611" ht="23.25" customHeight="1"/>
    <row r="612" ht="23.25" customHeight="1"/>
    <row r="613" ht="23.25" customHeight="1"/>
    <row r="614" ht="23.25" customHeight="1"/>
    <row r="615" ht="23.25" customHeight="1"/>
    <row r="616" ht="23.25" customHeight="1"/>
    <row r="617" ht="23.25" customHeight="1"/>
    <row r="618" ht="23.25" customHeight="1"/>
    <row r="619" ht="23.25" customHeight="1"/>
    <row r="620" ht="23.25" customHeight="1"/>
    <row r="621" ht="23.25" customHeight="1"/>
    <row r="622" ht="23.25" customHeight="1"/>
    <row r="623" ht="23.25" customHeight="1"/>
    <row r="624" ht="23.25" customHeight="1"/>
    <row r="625" ht="23.25" customHeight="1"/>
    <row r="626" ht="23.25" customHeight="1"/>
    <row r="627" ht="23.25" customHeight="1"/>
    <row r="628" ht="23.25" customHeight="1"/>
    <row r="629" ht="23.25" customHeight="1"/>
    <row r="630" ht="23.25" customHeight="1"/>
    <row r="631" ht="23.25" customHeight="1"/>
    <row r="632" ht="23.25" customHeight="1"/>
    <row r="633" ht="23.25" customHeight="1"/>
    <row r="634" ht="23.25" customHeight="1"/>
    <row r="635" ht="23.25" customHeight="1"/>
    <row r="636" ht="23.25" customHeight="1"/>
    <row r="637" ht="23.25" customHeight="1"/>
    <row r="638" ht="23.25" customHeight="1"/>
    <row r="639" ht="23.25" customHeight="1"/>
    <row r="640" ht="23.25" customHeight="1"/>
    <row r="641" ht="23.25" customHeight="1"/>
    <row r="642" ht="23.25" customHeight="1"/>
    <row r="643" ht="23.25" customHeight="1"/>
    <row r="644" ht="23.25" customHeight="1"/>
    <row r="645" ht="23.25" customHeight="1"/>
    <row r="646" ht="23.25" customHeight="1"/>
    <row r="647" ht="23.25" customHeight="1"/>
    <row r="648" ht="23.25" customHeight="1"/>
    <row r="649" ht="23.25" customHeight="1"/>
    <row r="650" ht="23.25" customHeight="1"/>
    <row r="651" ht="23.25" customHeight="1"/>
    <row r="652" ht="23.25" customHeight="1"/>
    <row r="653" ht="23.25" customHeight="1"/>
    <row r="654" ht="23.25" customHeight="1"/>
    <row r="655" ht="23.25" customHeight="1"/>
    <row r="656" ht="23.25" customHeight="1"/>
    <row r="657" ht="23.25" customHeight="1"/>
    <row r="658" ht="23.25" customHeight="1"/>
    <row r="659" ht="23.25" customHeight="1"/>
    <row r="660" ht="23.25" customHeight="1"/>
    <row r="661" ht="23.25" customHeight="1"/>
    <row r="662" ht="23.25" customHeight="1"/>
    <row r="663" ht="23.25" customHeight="1"/>
    <row r="664" ht="23.25" customHeight="1"/>
    <row r="665" ht="23.25" customHeight="1"/>
    <row r="666" ht="23.25" customHeight="1"/>
    <row r="667" ht="23.25" customHeight="1"/>
    <row r="668" ht="23.25" customHeight="1"/>
    <row r="669" ht="23.25" customHeight="1"/>
    <row r="670" ht="23.25" customHeight="1"/>
    <row r="671" ht="23.25" customHeight="1"/>
    <row r="672" ht="23.25" customHeight="1"/>
    <row r="673" ht="23.25" customHeight="1"/>
    <row r="674" ht="23.25" customHeight="1"/>
    <row r="675" ht="23.25" customHeight="1"/>
    <row r="676" ht="23.25" customHeight="1"/>
    <row r="677" ht="23.25" customHeight="1"/>
    <row r="678" ht="23.25" customHeight="1"/>
    <row r="679" ht="23.25" customHeight="1"/>
    <row r="680" ht="23.25" customHeight="1"/>
    <row r="681" ht="23.25" customHeight="1"/>
    <row r="682" ht="23.25" customHeight="1"/>
    <row r="683" ht="23.25" customHeight="1"/>
    <row r="684" ht="23.25" customHeight="1"/>
    <row r="685" ht="23.25" customHeight="1"/>
    <row r="686" ht="23.25" customHeight="1"/>
    <row r="687" ht="23.25" customHeight="1"/>
    <row r="688" ht="23.25" customHeight="1"/>
    <row r="689" ht="23.25" customHeight="1"/>
    <row r="690" ht="23.25" customHeight="1"/>
    <row r="691" ht="23.25" customHeight="1"/>
    <row r="692" ht="23.25" customHeight="1"/>
    <row r="693" ht="23.25" customHeight="1"/>
    <row r="694" ht="23.25" customHeight="1"/>
    <row r="695" ht="23.25" customHeight="1"/>
    <row r="696" ht="23.25" customHeight="1"/>
    <row r="697" ht="23.25" customHeight="1"/>
    <row r="698" ht="23.25" customHeight="1"/>
    <row r="699" ht="23.25" customHeight="1"/>
    <row r="700" ht="23.25" customHeight="1"/>
    <row r="701" ht="23.25" customHeight="1"/>
    <row r="702" ht="23.25" customHeight="1"/>
    <row r="703" ht="23.25" customHeight="1"/>
    <row r="704" ht="23.25" customHeight="1"/>
    <row r="705" ht="23.25" customHeight="1"/>
    <row r="706" ht="23.25" customHeight="1"/>
    <row r="707" ht="23.25" customHeight="1"/>
    <row r="708" ht="23.25" customHeight="1"/>
    <row r="709" ht="23.25" customHeight="1"/>
    <row r="710" ht="23.25" customHeight="1"/>
    <row r="711" ht="23.25" customHeight="1"/>
    <row r="712" ht="23.25" customHeight="1"/>
    <row r="713" ht="23.25" customHeight="1"/>
    <row r="714" ht="23.25" customHeight="1"/>
    <row r="715" ht="23.25" customHeight="1"/>
    <row r="716" ht="23.25" customHeight="1"/>
    <row r="717" ht="23.25" customHeight="1"/>
    <row r="718" ht="23.25" customHeight="1"/>
    <row r="719" ht="23.25" customHeight="1"/>
    <row r="720" ht="23.25" customHeight="1"/>
    <row r="721" ht="23.25" customHeight="1"/>
    <row r="722" ht="23.25" customHeight="1"/>
    <row r="723" ht="23.25" customHeight="1"/>
    <row r="724" ht="23.25" customHeight="1"/>
    <row r="725" ht="23.25" customHeight="1"/>
    <row r="726" ht="23.25" customHeight="1"/>
    <row r="727" ht="23.25" customHeight="1"/>
    <row r="728" ht="23.25" customHeight="1"/>
    <row r="729" ht="23.25" customHeight="1"/>
    <row r="730" ht="23.25" customHeight="1"/>
    <row r="731" ht="23.25" customHeight="1"/>
    <row r="732" ht="23.25" customHeight="1"/>
    <row r="733" ht="23.25" customHeight="1"/>
    <row r="734" ht="23.25" customHeight="1"/>
    <row r="735" ht="23.25" customHeight="1"/>
    <row r="736" ht="23.25" customHeight="1"/>
    <row r="737" ht="23.25" customHeight="1"/>
    <row r="738" ht="23.25" customHeight="1"/>
    <row r="739" ht="23.25" customHeight="1"/>
    <row r="740" ht="23.25" customHeight="1"/>
    <row r="741" ht="23.25" customHeight="1"/>
    <row r="742" ht="23.25" customHeight="1"/>
    <row r="743" ht="23.25" customHeight="1"/>
    <row r="744" ht="23.25" customHeight="1"/>
    <row r="745" ht="23.25" customHeight="1"/>
    <row r="746" ht="23.25" customHeight="1"/>
    <row r="747" ht="23.25" customHeight="1"/>
    <row r="748" ht="23.25" customHeight="1"/>
    <row r="749" ht="23.25" customHeight="1"/>
    <row r="750" ht="23.25" customHeight="1"/>
    <row r="751" ht="23.25" customHeight="1"/>
    <row r="752" ht="23.25" customHeight="1"/>
    <row r="753" ht="23.25" customHeight="1"/>
    <row r="754" ht="23.25" customHeight="1"/>
    <row r="755" ht="23.25" customHeight="1"/>
    <row r="756" ht="23.25" customHeight="1"/>
    <row r="757" ht="23.25" customHeight="1"/>
    <row r="758" ht="23.25" customHeight="1"/>
    <row r="759" ht="23.25" customHeight="1"/>
    <row r="760" ht="23.25" customHeight="1"/>
    <row r="761" ht="23.25" customHeight="1"/>
    <row r="762" ht="23.25" customHeight="1"/>
    <row r="763" ht="23.25" customHeight="1"/>
    <row r="764" ht="23.25" customHeight="1"/>
    <row r="765" ht="23.25" customHeight="1"/>
    <row r="766" ht="23.25" customHeight="1"/>
    <row r="767" ht="23.25" customHeight="1"/>
    <row r="768" ht="23.25" customHeight="1"/>
    <row r="769" ht="23.25" customHeight="1"/>
    <row r="770" ht="23.25" customHeight="1"/>
    <row r="771" ht="23.25" customHeight="1"/>
    <row r="772" ht="23.25" customHeight="1"/>
    <row r="773" ht="23.25" customHeight="1"/>
    <row r="774" ht="23.25" customHeight="1"/>
    <row r="775" ht="23.25" customHeight="1"/>
    <row r="776" ht="23.25" customHeight="1"/>
    <row r="777" ht="23.25" customHeight="1"/>
    <row r="778" ht="23.25" customHeight="1"/>
    <row r="779" ht="23.25" customHeight="1"/>
    <row r="780" ht="23.25" customHeight="1"/>
    <row r="781" ht="23.25" customHeight="1"/>
    <row r="782" ht="23.25" customHeight="1"/>
    <row r="783" ht="23.25" customHeight="1"/>
    <row r="784" ht="23.25" customHeight="1"/>
    <row r="785" ht="23.25" customHeight="1"/>
    <row r="786" ht="23.25" customHeight="1"/>
    <row r="787" ht="23.25" customHeight="1"/>
    <row r="788" ht="23.25" customHeight="1"/>
    <row r="789" ht="23.25" customHeight="1"/>
    <row r="790" ht="23.25" customHeight="1"/>
    <row r="791" ht="23.25" customHeight="1"/>
    <row r="792" ht="23.25" customHeight="1"/>
    <row r="793" ht="23.25" customHeight="1"/>
    <row r="794" ht="23.25" customHeight="1"/>
    <row r="795" ht="23.25" customHeight="1"/>
    <row r="796" ht="23.25" customHeight="1"/>
    <row r="797" ht="23.25" customHeight="1"/>
    <row r="798" ht="23.25" customHeight="1"/>
    <row r="799" ht="23.25" customHeight="1"/>
    <row r="800" ht="23.25" customHeight="1"/>
    <row r="801" ht="23.25" customHeight="1"/>
    <row r="802" ht="23.25" customHeight="1"/>
    <row r="803" ht="23.25" customHeight="1"/>
    <row r="804" ht="23.25" customHeight="1"/>
    <row r="805" ht="23.25" customHeight="1"/>
    <row r="806" ht="23.25" customHeight="1"/>
    <row r="807" ht="23.25" customHeight="1"/>
    <row r="808" ht="23.25" customHeight="1"/>
    <row r="809" ht="23.25" customHeight="1"/>
    <row r="810" ht="23.25" customHeight="1"/>
    <row r="811" ht="23.25" customHeight="1"/>
    <row r="812" ht="23.25" customHeight="1"/>
    <row r="813" ht="23.25" customHeight="1"/>
    <row r="814" ht="23.25" customHeight="1"/>
    <row r="815" ht="23.25" customHeight="1"/>
    <row r="816" ht="23.25" customHeight="1"/>
    <row r="817" ht="23.25" customHeight="1"/>
    <row r="818" ht="23.25" customHeight="1"/>
    <row r="819" ht="23.25" customHeight="1"/>
    <row r="820" ht="23.25" customHeight="1"/>
    <row r="821" ht="23.25" customHeight="1"/>
    <row r="822" ht="23.25" customHeight="1"/>
    <row r="823" ht="23.25" customHeight="1"/>
    <row r="824" ht="23.25" customHeight="1"/>
    <row r="825" ht="23.25" customHeight="1"/>
    <row r="826" ht="23.25" customHeight="1"/>
    <row r="827" ht="23.25" customHeight="1"/>
    <row r="828" ht="23.25" customHeight="1"/>
    <row r="829" ht="23.25" customHeight="1"/>
    <row r="830" ht="23.25" customHeight="1"/>
    <row r="831" ht="23.25" customHeight="1"/>
    <row r="832" ht="23.25" customHeight="1"/>
    <row r="833" ht="23.25" customHeight="1"/>
    <row r="834" ht="23.25" customHeight="1"/>
    <row r="835" ht="23.25" customHeight="1"/>
    <row r="836" ht="23.25" customHeight="1"/>
    <row r="837" ht="23.25" customHeight="1"/>
    <row r="838" ht="23.25" customHeight="1"/>
    <row r="839" ht="23.25" customHeight="1"/>
    <row r="840" ht="23.25" customHeight="1"/>
    <row r="841" ht="23.25" customHeight="1"/>
    <row r="842" ht="23.25" customHeight="1"/>
    <row r="843" ht="23.25" customHeight="1"/>
    <row r="844" ht="23.25" customHeight="1"/>
    <row r="845" ht="23.25" customHeight="1"/>
    <row r="846" ht="23.25" customHeight="1"/>
    <row r="847" ht="23.25" customHeight="1"/>
    <row r="848" ht="23.25" customHeight="1"/>
    <row r="849" ht="23.25" customHeight="1"/>
    <row r="850" ht="23.25" customHeight="1"/>
    <row r="851" ht="23.25" customHeight="1"/>
    <row r="852" ht="23.25" customHeight="1"/>
    <row r="853" ht="23.25" customHeight="1"/>
    <row r="854" ht="23.25" customHeight="1"/>
    <row r="855" ht="23.25" customHeight="1"/>
    <row r="856" ht="23.25" customHeight="1"/>
    <row r="857" ht="23.25" customHeight="1"/>
    <row r="858" ht="23.25" customHeight="1"/>
    <row r="859" ht="23.25" customHeight="1"/>
    <row r="860" ht="23.25" customHeight="1"/>
    <row r="861" ht="23.25" customHeight="1"/>
    <row r="862" ht="23.25" customHeight="1"/>
    <row r="863" ht="23.25" customHeight="1"/>
    <row r="864" ht="23.25" customHeight="1"/>
    <row r="865" ht="23.25" customHeight="1"/>
    <row r="866" ht="23.25" customHeight="1"/>
    <row r="867" ht="23.25" customHeight="1"/>
    <row r="868" ht="23.25" customHeight="1"/>
    <row r="869" ht="23.25" customHeight="1"/>
    <row r="870" ht="23.25" customHeight="1"/>
    <row r="871" ht="23.25" customHeight="1"/>
    <row r="872" ht="23.25" customHeight="1"/>
    <row r="873" ht="23.25" customHeight="1"/>
    <row r="874" ht="23.25" customHeight="1"/>
    <row r="875" ht="23.25" customHeight="1"/>
    <row r="876" ht="23.25" customHeight="1"/>
    <row r="877" ht="23.25" customHeight="1"/>
    <row r="878" ht="23.25" customHeight="1"/>
    <row r="879" ht="23.25" customHeight="1"/>
    <row r="880" ht="23.25" customHeight="1"/>
    <row r="881" ht="23.25" customHeight="1"/>
    <row r="882" ht="23.25" customHeight="1"/>
    <row r="883" ht="23.25" customHeight="1"/>
    <row r="884" ht="23.25" customHeight="1"/>
    <row r="885" ht="23.25" customHeight="1"/>
    <row r="886" ht="23.25" customHeight="1"/>
    <row r="887" ht="23.25" customHeight="1"/>
    <row r="888" ht="23.25" customHeight="1"/>
    <row r="889" ht="23.25" customHeight="1"/>
    <row r="890" ht="23.25" customHeight="1"/>
    <row r="891" ht="23.25" customHeight="1"/>
    <row r="892" ht="23.25" customHeight="1"/>
    <row r="893" ht="23.25" customHeight="1"/>
    <row r="894" ht="23.25" customHeight="1"/>
    <row r="895" ht="23.25" customHeight="1"/>
    <row r="896" ht="23.25" customHeight="1"/>
    <row r="897" ht="23.25" customHeight="1"/>
    <row r="898" ht="23.25" customHeight="1"/>
    <row r="899" ht="23.25" customHeight="1"/>
    <row r="900" ht="23.25" customHeight="1"/>
    <row r="901" ht="23.25" customHeight="1"/>
    <row r="902" ht="23.25" customHeight="1"/>
    <row r="903" ht="23.25" customHeight="1"/>
    <row r="904" ht="23.25" customHeight="1"/>
    <row r="905" ht="23.25" customHeight="1"/>
    <row r="906" ht="23.25" customHeight="1"/>
    <row r="907" ht="23.25" customHeight="1"/>
    <row r="908" ht="23.25" customHeight="1"/>
    <row r="909" ht="23.25" customHeight="1"/>
    <row r="910" ht="23.25" customHeight="1"/>
    <row r="911" ht="23.25" customHeight="1"/>
    <row r="912" ht="23.25" customHeight="1"/>
    <row r="913" ht="23.25" customHeight="1"/>
    <row r="914" ht="23.25" customHeight="1"/>
    <row r="915" ht="23.25" customHeight="1"/>
    <row r="916" ht="23.25" customHeight="1"/>
    <row r="917" ht="23.25" customHeight="1"/>
    <row r="918" ht="23.25" customHeight="1"/>
    <row r="919" ht="23.25" customHeight="1"/>
    <row r="920" ht="23.25" customHeight="1"/>
    <row r="921" ht="23.25" customHeight="1"/>
    <row r="922" ht="23.25" customHeight="1"/>
    <row r="923" ht="23.25" customHeight="1"/>
    <row r="924" ht="23.25" customHeight="1"/>
    <row r="925" ht="23.25" customHeight="1"/>
    <row r="926" ht="23.25" customHeight="1"/>
    <row r="927" ht="23.25" customHeight="1"/>
    <row r="928" ht="23.25" customHeight="1"/>
    <row r="929" ht="23.25" customHeight="1"/>
    <row r="930" ht="23.25" customHeight="1"/>
    <row r="931" ht="23.25" customHeight="1"/>
    <row r="932" ht="23.25" customHeight="1"/>
    <row r="933" ht="23.25" customHeight="1"/>
    <row r="934" ht="23.25" customHeight="1"/>
    <row r="935" ht="23.25" customHeight="1"/>
    <row r="936" ht="23.25" customHeight="1"/>
    <row r="937" ht="23.25" customHeight="1"/>
    <row r="938" ht="23.25" customHeight="1"/>
    <row r="939" ht="23.25" customHeight="1"/>
    <row r="940" ht="23.25" customHeight="1"/>
    <row r="941" ht="23.25" customHeight="1"/>
    <row r="942" ht="23.25" customHeight="1"/>
    <row r="943" ht="23.25" customHeight="1"/>
    <row r="944" ht="23.25" customHeight="1"/>
    <row r="945" ht="23.25" customHeight="1"/>
    <row r="946" ht="23.25" customHeight="1"/>
    <row r="947" ht="23.25" customHeight="1"/>
    <row r="948" ht="23.25" customHeight="1"/>
    <row r="949" ht="23.25" customHeight="1"/>
    <row r="950" ht="23.25" customHeight="1"/>
    <row r="951" ht="23.25" customHeight="1"/>
    <row r="952" ht="23.25" customHeight="1"/>
    <row r="953" ht="23.25" customHeight="1"/>
    <row r="954" ht="23.25" customHeight="1"/>
    <row r="955" ht="23.25" customHeight="1"/>
    <row r="956" ht="23.25" customHeight="1"/>
    <row r="957" ht="23.25" customHeight="1"/>
    <row r="958" ht="23.25" customHeight="1"/>
    <row r="959" ht="23.25" customHeight="1"/>
    <row r="960" ht="23.25" customHeight="1"/>
    <row r="961" ht="23.25" customHeight="1"/>
    <row r="962" ht="23.25" customHeight="1"/>
    <row r="963" ht="23.25" customHeight="1"/>
    <row r="964" ht="23.25" customHeight="1"/>
    <row r="965" ht="23.25" customHeight="1"/>
    <row r="966" ht="23.25" customHeight="1"/>
    <row r="967" ht="23.25" customHeight="1"/>
    <row r="968" ht="23.25" customHeight="1"/>
    <row r="969" ht="23.25" customHeight="1"/>
    <row r="970" ht="23.25" customHeight="1"/>
    <row r="971" ht="23.25" customHeight="1"/>
    <row r="972" ht="23.25" customHeight="1"/>
    <row r="973" ht="23.25" customHeight="1"/>
    <row r="974" ht="23.25" customHeight="1"/>
    <row r="975" ht="23.25" customHeight="1"/>
    <row r="976" ht="23.25" customHeight="1"/>
    <row r="977" ht="23.25" customHeight="1"/>
    <row r="978" ht="23.25" customHeight="1"/>
    <row r="979" ht="23.25" customHeight="1"/>
    <row r="980" ht="23.25" customHeight="1"/>
    <row r="981" ht="23.25" customHeight="1"/>
    <row r="982" ht="23.25" customHeight="1"/>
    <row r="983" ht="23.25" customHeight="1"/>
    <row r="984" ht="23.25" customHeight="1"/>
    <row r="985" ht="23.25" customHeight="1"/>
    <row r="986" ht="23.25" customHeight="1"/>
    <row r="987" ht="23.25" customHeight="1"/>
    <row r="988" ht="23.25" customHeight="1"/>
    <row r="989" ht="23.25" customHeight="1"/>
    <row r="990" ht="23.25" customHeight="1"/>
    <row r="991" ht="23.25" customHeight="1"/>
    <row r="992" ht="23.25" customHeight="1"/>
    <row r="993" ht="23.25" customHeight="1"/>
    <row r="994" ht="23.25" customHeight="1"/>
    <row r="995" ht="23.25" customHeight="1"/>
    <row r="996" ht="23.25" customHeight="1"/>
    <row r="997" ht="23.25" customHeight="1"/>
    <row r="998" ht="23.25" customHeight="1"/>
    <row r="999" ht="23.25" customHeight="1"/>
    <row r="1000" ht="23.25" customHeight="1"/>
  </sheetData>
  <mergeCells count="65">
    <mergeCell ref="B60:C60"/>
    <mergeCell ref="B61:C61"/>
    <mergeCell ref="B62:C62"/>
    <mergeCell ref="B63:C63"/>
    <mergeCell ref="B64:C64"/>
    <mergeCell ref="B65:C65"/>
    <mergeCell ref="B66:C66"/>
    <mergeCell ref="B72:C72"/>
    <mergeCell ref="C75:D75"/>
    <mergeCell ref="B67:C67"/>
    <mergeCell ref="B68:C68"/>
    <mergeCell ref="B69:C69"/>
    <mergeCell ref="B70:C70"/>
    <mergeCell ref="B71:C71"/>
    <mergeCell ref="K73:M73"/>
    <mergeCell ref="K74:M74"/>
    <mergeCell ref="J3:M3"/>
    <mergeCell ref="J4:M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</mergeCells>
  <pageMargins left="0.75" right="0.75" top="1" bottom="1" header="0" footer="0"/>
  <ignoredErrors>
    <ignoredError numberStoredAsText="1" sqref="A1:AN100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cols>
    <col min="1" max="1" customWidth="1" width="1.88"/>
    <col min="2" max="2" customWidth="1" width="11"/>
    <col min="3" max="3" customWidth="1" width="7"/>
    <col min="4" max="4" customWidth="1" width="12.63"/>
    <col min="5" max="5" customWidth="1" width="11.38"/>
    <col min="6" max="6" customWidth="1" width="12.63"/>
    <col min="7" max="7" customWidth="1" width="16.25"/>
    <col min="8" max="8" customWidth="1" width="13.88"/>
    <col min="9" max="9" customWidth="1" width="11"/>
    <col min="10" max="10" customWidth="1" width="9.13"/>
    <col min="11" max="11" customWidth="1" width="9.13"/>
    <col min="12" max="12" customWidth="1" width="9.13"/>
    <col min="13" max="13" customWidth="1" width="9.13"/>
    <col min="14" max="14" customWidth="1" width="9.13"/>
    <col min="15" max="15" customWidth="1" width="9.13"/>
    <col min="16" max="16" customWidth="1" width="9.13"/>
    <col min="17" max="17" customWidth="1" width="9.13"/>
    <col min="18" max="18" customWidth="1" width="9.13"/>
    <col min="19" max="19" customWidth="1" width="9.13"/>
    <col min="20" max="20" customWidth="1" width="9.13"/>
    <col min="21" max="21" customWidth="1" width="9.13"/>
    <col min="22" max="22" customWidth="1" width="9.13"/>
    <col min="23" max="23" customWidth="1" width="9.13"/>
    <col min="24" max="24" customWidth="1" width="9.13"/>
    <col min="25" max="25" customWidth="1" width="9.13"/>
    <col min="26" max="26" customWidth="1" width="9.13"/>
  </cols>
  <sheetData>
    <row r="1" ht="18" customHeight="1"/>
    <row r="2" ht="18" customHeight="1">
      <c r="B2" t="str">
        <v>FEED STOCKTAKE</v>
      </c>
    </row>
    <row r="3" ht="18" customHeight="1">
      <c r="B3" t="str">
        <v>Date:</v>
      </c>
    </row>
    <row r="4" ht="18" customHeight="1">
      <c r="B4" t="str">
        <v xml:space="preserve">FARM:  </v>
      </c>
      <c r="C4" s="6" t="str">
        <v>double b</v>
      </c>
      <c r="E4" t="str">
        <v>Monday</v>
      </c>
      <c r="F4" t="str">
        <v>Tuesday</v>
      </c>
      <c r="G4" t="str">
        <v>Wednesday</v>
      </c>
      <c r="H4" t="str">
        <v>Thursday</v>
      </c>
      <c r="I4" t="str">
        <v>Friday</v>
      </c>
    </row>
    <row r="5" ht="18" customHeight="1">
      <c r="B5" t="str">
        <v>SHEDS</v>
      </c>
      <c r="C5" t="str">
        <v>SILO</v>
      </c>
      <c r="D5" t="str">
        <v>FEED TYPE</v>
      </c>
      <c r="E5" t="str">
        <v>FEED IN STOCK (kg)</v>
      </c>
      <c r="F5" t="str">
        <v>FEED IN STOCK (kg)</v>
      </c>
      <c r="G5" t="str">
        <v>FEED IN STOCK (kg)</v>
      </c>
      <c r="H5" t="str">
        <v>FEED IN STOCK (kg)</v>
      </c>
      <c r="I5" t="str">
        <v>FEED IN STOCK (kg)</v>
      </c>
    </row>
    <row r="6" ht="18" customHeight="1">
      <c r="B6" t="str">
        <v>1 &amp; 2</v>
      </c>
      <c r="C6" t="str">
        <v>A</v>
      </c>
    </row>
    <row r="7" ht="18" customHeight="1">
      <c r="C7" t="str">
        <v>B</v>
      </c>
    </row>
    <row r="8" ht="18" customHeight="1">
      <c r="C8" t="str">
        <v>C</v>
      </c>
    </row>
    <row r="9" ht="18" customHeight="1"/>
    <row r="10" ht="18" customHeight="1">
      <c r="B10" t="str">
        <v>3 &amp; 4</v>
      </c>
      <c r="C10" t="str">
        <v>A</v>
      </c>
    </row>
    <row r="11" ht="18" customHeight="1">
      <c r="C11" t="str">
        <v>B</v>
      </c>
    </row>
    <row r="12" ht="18" customHeight="1">
      <c r="C12" t="str">
        <v>C</v>
      </c>
    </row>
    <row r="13" ht="18" customHeight="1"/>
    <row r="14" ht="18" customHeight="1">
      <c r="B14" t="str">
        <v>5 &amp; 6</v>
      </c>
      <c r="C14" t="str">
        <v>A</v>
      </c>
    </row>
    <row r="15" ht="18" customHeight="1">
      <c r="C15" t="str">
        <v>B</v>
      </c>
    </row>
    <row r="16" ht="18" customHeight="1">
      <c r="C16" t="str">
        <v>C</v>
      </c>
    </row>
    <row r="17" ht="18" customHeight="1"/>
    <row r="18" ht="18" customHeight="1">
      <c r="B18" t="str">
        <v>7 &amp; 8</v>
      </c>
      <c r="C18" t="str">
        <v>A</v>
      </c>
    </row>
    <row r="19" ht="18" customHeight="1">
      <c r="C19" t="str">
        <v>B</v>
      </c>
    </row>
    <row r="20" ht="18" customHeight="1">
      <c r="C20" t="str">
        <v>C</v>
      </c>
    </row>
    <row r="21" ht="18" customHeight="1"/>
    <row r="22" ht="18" customHeight="1">
      <c r="B22" t="str">
        <v>9 &amp; 10</v>
      </c>
      <c r="C22" t="str">
        <v>A</v>
      </c>
    </row>
    <row r="23" ht="18" customHeight="1">
      <c r="C23" t="str">
        <v>B</v>
      </c>
    </row>
    <row r="24" ht="18" customHeight="1">
      <c r="C24" t="str">
        <v>C</v>
      </c>
    </row>
    <row r="25" ht="18" customHeight="1"/>
    <row r="26" ht="18" customHeight="1">
      <c r="B26" t="str">
        <v>11 &amp; 12</v>
      </c>
      <c r="C26" t="str">
        <v>A</v>
      </c>
    </row>
    <row r="27" ht="18" customHeight="1">
      <c r="C27" t="str">
        <v>B</v>
      </c>
    </row>
    <row r="28" ht="18" customHeight="1">
      <c r="C28" t="str">
        <v>C</v>
      </c>
    </row>
    <row r="29" ht="18" customHeight="1"/>
    <row r="30" ht="18" customHeight="1">
      <c r="B30" t="str">
        <v>TOTAL</v>
      </c>
      <c r="I30">
        <f>SUM(I7:I29)</f>
        <v>0</v>
      </c>
    </row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mergeCells count="4">
    <mergeCell ref="B2:I2"/>
    <mergeCell ref="C3:D3"/>
    <mergeCell ref="C4:D4"/>
    <mergeCell ref="B30:D30"/>
  </mergeCells>
  <pageMargins left="0.7" right="0.7" top="0.75" bottom="0.75" header="0" footer="0"/>
  <ignoredErrors>
    <ignoredError numberStoredAsText="1" sqref="A1:Z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I1000"/>
  <sheetViews>
    <sheetView workbookViewId="0"/>
  </sheetViews>
  <cols>
    <col min="1" max="1" customWidth="1" width="8.63"/>
    <col min="2" max="2" customWidth="1" width="13.25"/>
    <col min="3" max="3" customWidth="1" width="12.13"/>
    <col min="4" max="4" customWidth="1" width="12"/>
    <col min="5" max="5" customWidth="1" width="8.63"/>
    <col min="6" max="6" customWidth="1" width="6.38"/>
    <col min="7" max="7" customWidth="1" width="14.63"/>
    <col min="8" max="8" customWidth="1" width="11"/>
    <col min="9" max="9" customWidth="1" width="12.88"/>
    <col min="10" max="10" customWidth="1" width="8.63"/>
    <col min="11" max="11" customWidth="1" width="12"/>
    <col min="12" max="12" customWidth="1" width="11.38"/>
    <col min="13" max="13" customWidth="1" width="13.63"/>
    <col min="14" max="14" customWidth="1" width="8.63"/>
    <col min="15" max="15" customWidth="1" width="11.88"/>
    <col min="16" max="16" customWidth="1" width="10.75"/>
    <col min="17" max="17" customWidth="1" width="13.38"/>
    <col min="18" max="18" customWidth="1" width="4.63"/>
    <col min="19" max="19" customWidth="1" width="16.38"/>
    <col min="20" max="20" customWidth="1" width="8.63"/>
    <col min="21" max="21" customWidth="1" width="8.63"/>
    <col min="22" max="22" customWidth="1" width="16.88"/>
    <col min="23" max="23" customWidth="1" width="22.75"/>
    <col min="24" max="24" customWidth="1" width="20.75"/>
    <col min="25" max="25" customWidth="1" width="19.25"/>
    <col min="26" max="26" customWidth="1" width="8.63"/>
    <col min="27" max="27" customWidth="1" width="8.63"/>
    <col min="28" max="28" customWidth="1" width="8.63"/>
    <col min="29" max="29" customWidth="1" width="8.63"/>
    <col min="30" max="30" customWidth="1" width="8.63"/>
    <col min="31" max="31" customWidth="1" width="8.63"/>
    <col min="32" max="32" customWidth="1" width="8.63"/>
    <col min="33" max="33" customWidth="1" width="8.63"/>
    <col min="34" max="34" customWidth="1" width="8.63"/>
    <col min="35" max="35" customWidth="1" width="8.63"/>
  </cols>
  <sheetData>
    <row r="1" ht="12.75" customHeight="1">
      <c r="A1" t="str">
        <v xml:space="preserve">Farm </v>
      </c>
      <c r="C1" t="str">
        <v>Double B</v>
      </c>
      <c r="F1" t="str">
        <v>batch details</v>
      </c>
    </row>
    <row r="2" ht="12.75" customHeight="1">
      <c r="A2" t="str">
        <v>Batch</v>
      </c>
      <c r="C2">
        <v>120</v>
      </c>
    </row>
    <row r="3" ht="12.75" customHeight="1">
      <c r="B3" t="str">
        <v>Batch</v>
      </c>
      <c r="D3">
        <v>114</v>
      </c>
      <c r="V3" t="str">
        <v>bird  totals</v>
      </c>
    </row>
    <row r="4" ht="12.75" customHeight="1">
      <c r="V4" t="str">
        <v xml:space="preserve">shed </v>
      </c>
      <c r="W4" t="str">
        <v>birds place</v>
      </c>
      <c r="X4" t="str">
        <v>birds catched</v>
      </c>
      <c r="Y4" t="str">
        <v>actual morts</v>
      </c>
    </row>
    <row r="5" ht="12.75" customHeight="1">
      <c r="B5" t="str">
        <v>STARTER</v>
      </c>
      <c r="G5" t="str">
        <v>GROWER</v>
      </c>
      <c r="K5" t="str">
        <v>FINISHER</v>
      </c>
      <c r="O5" t="str">
        <v>WITHDRAWL</v>
      </c>
      <c r="V5">
        <v>1</v>
      </c>
      <c r="W5">
        <v>39600</v>
      </c>
      <c r="X5">
        <v>39352</v>
      </c>
      <c r="Y5">
        <v>284</v>
      </c>
    </row>
    <row r="6" ht="12.75" customHeight="1">
      <c r="B6" t="str">
        <v>Date</v>
      </c>
      <c r="C6" t="str">
        <v>Docket  #</v>
      </c>
      <c r="D6" t="str">
        <v>Tonnes</v>
      </c>
      <c r="G6" t="str">
        <v>Date</v>
      </c>
      <c r="H6" t="str">
        <v>Docket  #</v>
      </c>
      <c r="I6" t="str">
        <v>Tonnes</v>
      </c>
      <c r="K6" t="str">
        <v>Date</v>
      </c>
      <c r="L6" t="str">
        <v>Docket  #</v>
      </c>
      <c r="M6" t="str">
        <v>Tonnes</v>
      </c>
      <c r="O6" t="str">
        <v>Date</v>
      </c>
      <c r="P6" t="str">
        <v>Docket  #</v>
      </c>
      <c r="Q6" t="str">
        <v>Tonnes</v>
      </c>
      <c r="S6" t="str">
        <v>FEED   LEFT</v>
      </c>
      <c r="V6">
        <v>2</v>
      </c>
      <c r="W6">
        <v>39400</v>
      </c>
      <c r="X6">
        <v>38360</v>
      </c>
      <c r="Y6">
        <v>1040</v>
      </c>
    </row>
    <row r="7" ht="12.75" customHeight="1">
      <c r="B7" s="7">
        <v>46097</v>
      </c>
      <c r="C7">
        <v>53740</v>
      </c>
      <c r="D7">
        <v>41980</v>
      </c>
      <c r="G7" s="7">
        <v>46107</v>
      </c>
      <c r="H7">
        <v>54320</v>
      </c>
      <c r="I7">
        <v>43600</v>
      </c>
      <c r="S7" t="str">
        <v>LAST  BATCH</v>
      </c>
      <c r="V7">
        <v>3</v>
      </c>
      <c r="W7">
        <v>40000</v>
      </c>
      <c r="X7">
        <v>41088</v>
      </c>
      <c r="Y7">
        <v>-1088</v>
      </c>
    </row>
    <row r="8" ht="12.75" customHeight="1">
      <c r="B8" s="7">
        <v>46096</v>
      </c>
      <c r="C8">
        <v>53739</v>
      </c>
      <c r="D8">
        <v>44000</v>
      </c>
      <c r="G8" s="7">
        <v>46107</v>
      </c>
      <c r="H8">
        <v>54319</v>
      </c>
      <c r="I8">
        <v>43640</v>
      </c>
      <c r="S8">
        <v>168000</v>
      </c>
      <c r="V8">
        <v>4</v>
      </c>
      <c r="W8">
        <v>40000</v>
      </c>
      <c r="X8">
        <v>38784</v>
      </c>
      <c r="Y8">
        <v>1216</v>
      </c>
    </row>
    <row r="9" ht="12.75" customHeight="1">
      <c r="B9" s="7">
        <v>46096</v>
      </c>
      <c r="C9">
        <v>53737</v>
      </c>
      <c r="D9">
        <v>43920</v>
      </c>
      <c r="G9" s="7">
        <v>30</v>
      </c>
      <c r="H9">
        <v>55026</v>
      </c>
      <c r="I9">
        <v>43640</v>
      </c>
      <c r="V9">
        <v>5</v>
      </c>
      <c r="W9">
        <v>40400</v>
      </c>
      <c r="X9">
        <v>39680</v>
      </c>
      <c r="Y9">
        <v>720</v>
      </c>
    </row>
    <row r="10" ht="12.75" customHeight="1">
      <c r="B10" s="7">
        <v>46096</v>
      </c>
      <c r="C10">
        <v>53738</v>
      </c>
      <c r="D10">
        <v>43860</v>
      </c>
      <c r="G10" s="7">
        <v>46111</v>
      </c>
      <c r="H10">
        <v>550258</v>
      </c>
      <c r="I10">
        <v>43360</v>
      </c>
      <c r="S10" t="str">
        <v>TOTAL FEED</v>
      </c>
      <c r="V10">
        <v>6</v>
      </c>
      <c r="W10">
        <v>40300</v>
      </c>
      <c r="X10">
        <v>38230</v>
      </c>
      <c r="Y10">
        <v>1980</v>
      </c>
    </row>
    <row r="11" ht="12.75" customHeight="1">
      <c r="G11" s="7">
        <v>46114</v>
      </c>
      <c r="H11">
        <v>55103</v>
      </c>
      <c r="I11">
        <v>43560</v>
      </c>
      <c r="S11" t="str">
        <v>PURCHASED</v>
      </c>
      <c r="V11">
        <v>7</v>
      </c>
      <c r="W11">
        <v>48400</v>
      </c>
      <c r="X11">
        <v>48400</v>
      </c>
      <c r="Y11">
        <v>1904</v>
      </c>
    </row>
    <row r="12" ht="12.75" customHeight="1">
      <c r="G12" s="7">
        <v>46114</v>
      </c>
      <c r="H12">
        <v>55104</v>
      </c>
      <c r="I12">
        <v>43740</v>
      </c>
      <c r="S12" s="2">
        <f>+D37+I37+M37+Q37</f>
        <v>435300</v>
      </c>
      <c r="V12">
        <v>8</v>
      </c>
      <c r="W12">
        <v>47786</v>
      </c>
      <c r="X12">
        <v>47648</v>
      </c>
      <c r="Y12">
        <v>138</v>
      </c>
    </row>
    <row r="13" ht="12.75" customHeight="1">
      <c r="V13">
        <v>9</v>
      </c>
      <c r="W13">
        <v>48100</v>
      </c>
      <c r="X13">
        <v>46120</v>
      </c>
      <c r="Y13">
        <v>1980</v>
      </c>
    </row>
    <row r="14" ht="12.75" customHeight="1">
      <c r="S14" t="str">
        <v>FEED LEFT</v>
      </c>
      <c r="V14">
        <v>10</v>
      </c>
      <c r="W14">
        <v>48100</v>
      </c>
      <c r="X14">
        <v>47152</v>
      </c>
      <c r="Y14">
        <v>948</v>
      </c>
    </row>
    <row r="15" ht="12.75" customHeight="1">
      <c r="S15" t="str">
        <v>THIS  BATCH</v>
      </c>
      <c r="V15">
        <v>11</v>
      </c>
      <c r="W15">
        <v>48100</v>
      </c>
      <c r="X15">
        <v>43456</v>
      </c>
      <c r="Y15">
        <v>4644</v>
      </c>
    </row>
    <row r="16" ht="12.75" customHeight="1">
      <c r="V16">
        <v>12</v>
      </c>
      <c r="W16">
        <v>49400</v>
      </c>
      <c r="X16">
        <v>49064</v>
      </c>
      <c r="Y16">
        <v>336</v>
      </c>
    </row>
    <row r="17" ht="12.75" customHeight="1">
      <c r="V17" t="str">
        <v>total</v>
      </c>
      <c r="W17" t="str">
        <v xml:space="preserve">end of batch </v>
      </c>
      <c r="X17">
        <f>SUM(X5:X16)</f>
        <v>517334</v>
      </c>
      <c r="Y17">
        <f>SUM(Y5:Y16)</f>
        <v>14102</v>
      </c>
    </row>
    <row r="18" ht="12.75" customHeight="1">
      <c r="S18" t="str">
        <v>FEED  USED</v>
      </c>
      <c r="V18" t="str">
        <v>feed totals</v>
      </c>
    </row>
    <row r="19" ht="12.75" customHeight="1">
      <c r="S19" s="2">
        <f>+S8+S12-S16</f>
        <v>603300</v>
      </c>
      <c r="V19" t="str">
        <v>feed on hand last batch 118</v>
      </c>
      <c r="X19">
        <v>168000</v>
      </c>
    </row>
    <row r="20" ht="12.75" customHeight="1">
      <c r="V20" t="str">
        <v>feed delivered this batch</v>
      </c>
      <c r="X20" s="8">
        <v>2142600</v>
      </c>
    </row>
    <row r="21" ht="12.75" customHeight="1">
      <c r="V21" t="str">
        <v>feed on hand this batch</v>
      </c>
      <c r="X21">
        <v>168000</v>
      </c>
    </row>
    <row r="22" ht="12.75" customHeight="1">
      <c r="V22" t="str">
        <v>total feed use batch 119</v>
      </c>
      <c r="X22" s="8">
        <f>X19+X20-X21</f>
        <v>2142600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>
      <c r="D37" s="2">
        <f>+(D7+D8+D9+D10+D11+D12+D13+D14+D15+D16+D17+D18+D19+D20+D21+D22+D23+D24+D25+D26+D27+D28+D29+D30+D36)</f>
        <v>173760</v>
      </c>
      <c r="I37" s="2">
        <f>+(I7+I8+I9+I10+I11+I12+I13+I14+I15+I16+I17+I18+I20+I19+I21+I22+I23+I24+I25+I26+I27+I29+I28+I30+I36)</f>
        <v>261540</v>
      </c>
      <c r="M37" s="2">
        <v>0</v>
      </c>
      <c r="Q37" s="2">
        <f>SUM(Q7:Q36)</f>
        <v>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A1:B1"/>
    <mergeCell ref="F1:U1"/>
    <mergeCell ref="A2:B2"/>
    <mergeCell ref="C2:E2"/>
    <mergeCell ref="F2:R2"/>
    <mergeCell ref="D3:G3"/>
    <mergeCell ref="V3:Y3"/>
    <mergeCell ref="V20:W20"/>
    <mergeCell ref="V21:W21"/>
    <mergeCell ref="V22:W22"/>
    <mergeCell ref="B3:C3"/>
    <mergeCell ref="B5:D5"/>
    <mergeCell ref="G5:I5"/>
    <mergeCell ref="K5:M5"/>
    <mergeCell ref="O5:Q5"/>
    <mergeCell ref="V18:W18"/>
    <mergeCell ref="V19:W19"/>
  </mergeCells>
  <pageMargins left="0.7" right="0.7" top="0.75" bottom="0.75" header="0" footer="0"/>
  <ignoredErrors>
    <ignoredError numberStoredAsText="1" sqref="A1:AI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Consumption Guide</vt:lpstr>
      <vt:lpstr> SHED 1 &amp; 2</vt:lpstr>
      <vt:lpstr>SHED  3 &amp; 4 </vt:lpstr>
      <vt:lpstr>SHED  5 &amp; 6</vt:lpstr>
      <vt:lpstr>SHED 7 &amp; 8</vt:lpstr>
      <vt:lpstr>SHED 9 &amp; 10</vt:lpstr>
      <vt:lpstr>SHED 11 &amp; 12</vt:lpstr>
      <vt:lpstr>WEEKLY STOCK TAKE</vt:lpstr>
      <vt:lpstr>end of 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